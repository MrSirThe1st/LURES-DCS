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23760"/>
  </bookViews>
  <sheets>
    <sheet name="BP" sheetId="5" r:id="rId1"/>
    <sheet name="1装" sheetId="12" r:id="rId2"/>
    <sheet name="2装" sheetId="13" r:id="rId3"/>
    <sheet name="3装" sheetId="14" r:id="rId4"/>
    <sheet name="4装" sheetId="15" r:id="rId5"/>
    <sheet name="5装" sheetId="21" r:id="rId6"/>
    <sheet name="6装" sheetId="22" r:id="rId7"/>
    <sheet name="7装" sheetId="23" r:id="rId8"/>
    <sheet name="8装" sheetId="24" r:id="rId9"/>
    <sheet name="9装" sheetId="69" r:id="rId10"/>
    <sheet name="10装" sheetId="72" r:id="rId11"/>
    <sheet name="11装" sheetId="73" r:id="rId12"/>
    <sheet name="12装" sheetId="74" r:id="rId13"/>
    <sheet name="13装" sheetId="75" r:id="rId14"/>
    <sheet name="14装" sheetId="76" r:id="rId15"/>
    <sheet name="15装" sheetId="77" r:id="rId16"/>
    <sheet name="16装" sheetId="99" r:id="rId17"/>
    <sheet name="17装" sheetId="100" r:id="rId18"/>
    <sheet name="18装" sheetId="101" r:id="rId19"/>
    <sheet name="19装" sheetId="112" r:id="rId20"/>
    <sheet name="20装" sheetId="113" r:id="rId21"/>
    <sheet name="21装" sheetId="114" r:id="rId22"/>
    <sheet name="22装" sheetId="115" r:id="rId23"/>
    <sheet name="23装" sheetId="116" r:id="rId24"/>
    <sheet name="24装" sheetId="117" r:id="rId25"/>
    <sheet name="25装" sheetId="118" r:id="rId26"/>
    <sheet name="26装" sheetId="119" r:id="rId27"/>
    <sheet name="1发" sheetId="17" r:id="rId28"/>
    <sheet name="2发" sheetId="18" r:id="rId29"/>
    <sheet name="3发" sheetId="19" r:id="rId30"/>
    <sheet name="4发" sheetId="20" r:id="rId31"/>
    <sheet name="5发" sheetId="25" r:id="rId32"/>
    <sheet name="6发" sheetId="26" r:id="rId33"/>
    <sheet name="7发" sheetId="27" r:id="rId34"/>
    <sheet name="8发" sheetId="31" r:id="rId35"/>
    <sheet name="9发" sheetId="70" r:id="rId36"/>
    <sheet name="10发" sheetId="81" r:id="rId37"/>
    <sheet name="11发" sheetId="82" r:id="rId38"/>
    <sheet name="12发" sheetId="83" r:id="rId39"/>
    <sheet name="13发" sheetId="84" r:id="rId40"/>
    <sheet name="14发" sheetId="85" r:id="rId41"/>
    <sheet name="15发" sheetId="86" r:id="rId42"/>
    <sheet name="16发" sheetId="104" r:id="rId43"/>
    <sheet name="17发" sheetId="105" r:id="rId44"/>
    <sheet name="18发" sheetId="106" r:id="rId45"/>
    <sheet name="19发" sheetId="124" r:id="rId46"/>
    <sheet name="20发" sheetId="125" r:id="rId47"/>
    <sheet name="21发" sheetId="126" r:id="rId48"/>
    <sheet name="22发" sheetId="127" r:id="rId49"/>
    <sheet name="23发" sheetId="128" r:id="rId50"/>
    <sheet name="24发" sheetId="129" r:id="rId51"/>
    <sheet name="25发" sheetId="130" r:id="rId52"/>
    <sheet name="26发" sheetId="131" r:id="rId53"/>
    <sheet name="1放" sheetId="68" r:id="rId54"/>
    <sheet name="2放" sheetId="67" r:id="rId55"/>
    <sheet name="3放" sheetId="66" r:id="rId56"/>
    <sheet name="4放" sheetId="65" r:id="rId57"/>
    <sheet name="5放" sheetId="64" r:id="rId58"/>
    <sheet name="6放" sheetId="63" r:id="rId59"/>
    <sheet name="7放" sheetId="62" r:id="rId60"/>
    <sheet name="8放" sheetId="61" r:id="rId61"/>
    <sheet name="9放" sheetId="71" r:id="rId62"/>
    <sheet name="10放" sheetId="90" r:id="rId63"/>
    <sheet name="11放" sheetId="91" r:id="rId64"/>
    <sheet name="12放" sheetId="92" r:id="rId65"/>
    <sheet name="13放" sheetId="93" r:id="rId66"/>
    <sheet name="14放" sheetId="94" r:id="rId67"/>
    <sheet name="15放" sheetId="95" r:id="rId68"/>
    <sheet name="16放" sheetId="109" r:id="rId69"/>
    <sheet name="17放" sheetId="110" r:id="rId70"/>
    <sheet name="18放" sheetId="111" r:id="rId71"/>
    <sheet name="19放" sheetId="136" r:id="rId72"/>
    <sheet name="20放" sheetId="137" r:id="rId73"/>
    <sheet name="21放" sheetId="138" r:id="rId74"/>
    <sheet name="22放" sheetId="139" r:id="rId75"/>
    <sheet name="23放" sheetId="140" r:id="rId76"/>
    <sheet name="24放" sheetId="141" r:id="rId77"/>
    <sheet name="25放" sheetId="142" r:id="rId78"/>
    <sheet name="26放" sheetId="143" r:id="rId7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<sst xmlns="http://schemas.openxmlformats.org/spreadsheetml/2006/main" count="4185" uniqueCount="1536">
  <si>
    <r>
      <rPr>
        <b/>
        <sz val="16"/>
        <rFont val="Times New Roman"/>
        <charset val="134"/>
      </rPr>
      <t xml:space="preserve">LUILU RESSOURCES SAS                       </t>
    </r>
    <r>
      <rPr>
        <b/>
        <sz val="16"/>
        <rFont val="宋体"/>
        <charset val="134"/>
      </rPr>
      <t>鲁依鲁资源简易股份有限公司</t>
    </r>
  </si>
  <si>
    <t>167 AV.BUKAMA Q.MUTOSHI</t>
  </si>
  <si>
    <t>Tel:+243 843613879</t>
  </si>
  <si>
    <t>C/MANIKA, KOLWEZI</t>
  </si>
  <si>
    <t>E-mail:xieboyang@hkexcellen.com</t>
  </si>
  <si>
    <t>Province du Lualaba, Democratic Republic of Congo</t>
  </si>
  <si>
    <t>BULLETIN DE PESAGE/WEIGHTING SHEET:LU-EX Conc.-2026-9-11-049</t>
  </si>
  <si>
    <t xml:space="preserve">Client:        SINGAPORE EXCELLEN PTE.LTD/SINGAPORE                                                                            </t>
  </si>
  <si>
    <t>AGENCE EN DOUANE:</t>
  </si>
  <si>
    <t>CONNEX</t>
  </si>
  <si>
    <r>
      <rPr>
        <sz val="12"/>
        <color rgb="FF000000"/>
        <rFont val="Times New Roman"/>
        <charset val="134"/>
      </rPr>
      <t>Destination</t>
    </r>
    <r>
      <rPr>
        <sz val="12"/>
        <color rgb="FF000000"/>
        <rFont val="宋体"/>
        <charset val="134"/>
      </rPr>
      <t>：</t>
    </r>
    <r>
      <rPr>
        <sz val="12"/>
        <color rgb="FF000000"/>
        <rFont val="Times New Roman"/>
        <charset val="134"/>
      </rPr>
      <t>Singapore</t>
    </r>
  </si>
  <si>
    <r>
      <rPr>
        <b/>
        <sz val="12"/>
        <color rgb="FF000000"/>
        <rFont val="Times New Roman"/>
        <charset val="134"/>
      </rPr>
      <t>License NO.</t>
    </r>
    <r>
      <rPr>
        <b/>
        <sz val="12"/>
        <color rgb="FF000000"/>
        <rFont val="宋体"/>
        <charset val="134"/>
      </rPr>
      <t>：</t>
    </r>
  </si>
  <si>
    <t>DEC1798930-4F06-EB</t>
  </si>
  <si>
    <t xml:space="preserve">Product:     COPPER CONCENTRATE                                                          </t>
  </si>
  <si>
    <t xml:space="preserve">Loading Point: </t>
  </si>
  <si>
    <t>LUILU PLANT</t>
  </si>
  <si>
    <t>NO.</t>
  </si>
  <si>
    <t>LOT NO.</t>
  </si>
  <si>
    <t>HORSE NO.</t>
  </si>
  <si>
    <t>TRAILER 1</t>
  </si>
  <si>
    <t>TRAILER 2</t>
  </si>
  <si>
    <t>CONTAINER NO</t>
  </si>
  <si>
    <t>DRIVER NAME</t>
  </si>
  <si>
    <t>PASSPORT</t>
  </si>
  <si>
    <t>TRANSPORTER</t>
  </si>
  <si>
    <t>BORDER</t>
  </si>
  <si>
    <t>PKGS</t>
  </si>
  <si>
    <t>G.W(T)</t>
  </si>
  <si>
    <t>N.W(T)</t>
  </si>
  <si>
    <t>EX202609-0506</t>
  </si>
  <si>
    <t>T641EKD</t>
  </si>
  <si>
    <t>T560EKD</t>
  </si>
  <si>
    <t>NA</t>
  </si>
  <si>
    <t>OMARY HAMISI</t>
  </si>
  <si>
    <t>AB02109553</t>
  </si>
  <si>
    <t>VAN MO COMPANY LIMITED</t>
  </si>
  <si>
    <t>Dar es Salaam</t>
  </si>
  <si>
    <t>EX202609-0507</t>
  </si>
  <si>
    <t>T963ERN</t>
  </si>
  <si>
    <t>T918ERX</t>
  </si>
  <si>
    <t>IDDI IBRAHIMU</t>
  </si>
  <si>
    <t>TAE326185</t>
  </si>
  <si>
    <t>EX202609-0508</t>
  </si>
  <si>
    <t>T688ERQ</t>
  </si>
  <si>
    <t>T281ERY</t>
  </si>
  <si>
    <t>JOHN ANDREW</t>
  </si>
  <si>
    <t>TAE678691</t>
  </si>
  <si>
    <t>EX202609-0509</t>
  </si>
  <si>
    <t>T615EFE</t>
  </si>
  <si>
    <t>T881EFH</t>
  </si>
  <si>
    <t>ALLY KITOSI</t>
  </si>
  <si>
    <t>AB02088841</t>
  </si>
  <si>
    <t>IMPERIAL ROAD HAULAGE LTD</t>
  </si>
  <si>
    <t>EX202609-0510</t>
  </si>
  <si>
    <t>T284EEY</t>
  </si>
  <si>
    <t>T634EEZ</t>
  </si>
  <si>
    <t xml:space="preserve"> NICHOLAUS LISAKAFU</t>
  </si>
  <si>
    <t>TAE644895</t>
  </si>
  <si>
    <t>EX202609-0511</t>
  </si>
  <si>
    <t>T994EKU</t>
  </si>
  <si>
    <t>T236EKS</t>
  </si>
  <si>
    <t>MSANGI SULEMANI</t>
  </si>
  <si>
    <t>TAE953270</t>
  </si>
  <si>
    <t>EX202609-0512</t>
  </si>
  <si>
    <t>FWH557L</t>
  </si>
  <si>
    <t>FPC417L</t>
  </si>
  <si>
    <t>FPC421L</t>
  </si>
  <si>
    <t>GRESTEN MWEEMBA</t>
  </si>
  <si>
    <t>ZN904984</t>
  </si>
  <si>
    <t>GREENDOOR GROUP (PTY) LTD</t>
  </si>
  <si>
    <t>DURBAN</t>
  </si>
  <si>
    <t>EX202609-0513</t>
  </si>
  <si>
    <t>FPV477L</t>
  </si>
  <si>
    <t>FMG170L</t>
  </si>
  <si>
    <t>FMG167L</t>
  </si>
  <si>
    <t>BRIGHT FUNDA</t>
  </si>
  <si>
    <t>ZP106451</t>
  </si>
  <si>
    <t>EX202609-0514</t>
  </si>
  <si>
    <t>T574ECB</t>
  </si>
  <si>
    <t>T185BDN</t>
  </si>
  <si>
    <t>T232DTC</t>
  </si>
  <si>
    <t>MASHIKU JEREMIAH</t>
  </si>
  <si>
    <t>AB02100763</t>
  </si>
  <si>
    <t>C.STEINWEG BRIDGE (PTY) LTD</t>
  </si>
  <si>
    <t>EX202609-0515</t>
  </si>
  <si>
    <t>T174DYN</t>
  </si>
  <si>
    <t>T345BSA</t>
  </si>
  <si>
    <t>T254EKH</t>
  </si>
  <si>
    <t>MIKAEHAEL CHARLES</t>
  </si>
  <si>
    <t>TAE652658</t>
  </si>
  <si>
    <t>EX202609-0516</t>
  </si>
  <si>
    <t>T593EAL</t>
  </si>
  <si>
    <t>T147BGL</t>
  </si>
  <si>
    <t>T726EGF</t>
  </si>
  <si>
    <t>HASSAN NGUZO</t>
  </si>
  <si>
    <t>TAE800128</t>
  </si>
  <si>
    <t>EX202609-0517</t>
  </si>
  <si>
    <t>T546ELH</t>
  </si>
  <si>
    <t>T993DAU</t>
  </si>
  <si>
    <t>T228DTC</t>
  </si>
  <si>
    <t>MICHAEL</t>
  </si>
  <si>
    <t>TAE779136</t>
  </si>
  <si>
    <t>EX202609-0518</t>
  </si>
  <si>
    <t>T407DNB</t>
  </si>
  <si>
    <t>T480BRX</t>
  </si>
  <si>
    <t>T414EMV</t>
  </si>
  <si>
    <t>ALEX PETER</t>
  </si>
  <si>
    <t>AB02100906</t>
  </si>
  <si>
    <t>EX202609-0519</t>
  </si>
  <si>
    <t>T265ECC</t>
  </si>
  <si>
    <t>T983EBY</t>
  </si>
  <si>
    <t>T713EGF</t>
  </si>
  <si>
    <t>JAPHET FIKENI KITUMA</t>
  </si>
  <si>
    <t>TAE679080</t>
  </si>
  <si>
    <t>EX202609-0520</t>
  </si>
  <si>
    <t>T485EAL</t>
  </si>
  <si>
    <t>T331DEN</t>
  </si>
  <si>
    <t>T710EGF</t>
  </si>
  <si>
    <t>EDIGA YORAM</t>
  </si>
  <si>
    <t>AB02093890</t>
  </si>
  <si>
    <t>EX202609-0521</t>
  </si>
  <si>
    <t>T177EBK</t>
  </si>
  <si>
    <t>T796BMY</t>
  </si>
  <si>
    <t>T973EHX</t>
  </si>
  <si>
    <t>ISSA MANYANGA</t>
  </si>
  <si>
    <t>TAE842876</t>
  </si>
  <si>
    <t>EX202609-0522</t>
  </si>
  <si>
    <t>T952DUM</t>
  </si>
  <si>
    <t>T919ASZ</t>
  </si>
  <si>
    <t>MIKA KISUNGWE</t>
  </si>
  <si>
    <t>TAE650086</t>
  </si>
  <si>
    <t>EX202609-0523</t>
  </si>
  <si>
    <t>T502DMJ</t>
  </si>
  <si>
    <t>T440CFG</t>
  </si>
  <si>
    <t>T364ELY</t>
  </si>
  <si>
    <t>SHARIFU JUMANNE</t>
  </si>
  <si>
    <t>TAE869967</t>
  </si>
  <si>
    <t>EX202609-0524</t>
  </si>
  <si>
    <t>T540ECN</t>
  </si>
  <si>
    <t>T827ENG</t>
  </si>
  <si>
    <t xml:space="preserve">MUSTAFER AMIR </t>
  </si>
  <si>
    <t>AB02106113</t>
  </si>
  <si>
    <t>EX202609-0525</t>
  </si>
  <si>
    <t>T699DRY</t>
  </si>
  <si>
    <t>T207DSK</t>
  </si>
  <si>
    <t>CHARLES LUCAS MTENGULE</t>
  </si>
  <si>
    <t>TAE690209</t>
  </si>
  <si>
    <t>OVERLAND INTERNATIONAL AG</t>
  </si>
  <si>
    <t>EX202609-0526</t>
  </si>
  <si>
    <t>T341EPL</t>
  </si>
  <si>
    <t>T731EPJ</t>
  </si>
  <si>
    <t xml:space="preserve">SALEHE HEMEDI </t>
  </si>
  <si>
    <t>TAE791546</t>
  </si>
  <si>
    <t>EX202609-0527</t>
  </si>
  <si>
    <t>T626ECB</t>
  </si>
  <si>
    <t>T557BBE</t>
  </si>
  <si>
    <t>T236DTC</t>
  </si>
  <si>
    <t>SALUM MUMBA</t>
  </si>
  <si>
    <t>TAE527007</t>
  </si>
  <si>
    <t>EX202609-0528</t>
  </si>
  <si>
    <t>T222DFL</t>
  </si>
  <si>
    <t>T596CBD</t>
  </si>
  <si>
    <t>T429EMV</t>
  </si>
  <si>
    <t>MUSTAFA OMARY</t>
  </si>
  <si>
    <t>AB02103761</t>
  </si>
  <si>
    <t>EX202609-0529</t>
  </si>
  <si>
    <t>T602DYY</t>
  </si>
  <si>
    <t>T494BRX</t>
  </si>
  <si>
    <t>T415EPH</t>
  </si>
  <si>
    <t>IDDI JUMA</t>
  </si>
  <si>
    <t>TAE854999</t>
  </si>
  <si>
    <t>EX202609-0530</t>
  </si>
  <si>
    <t>T605EGH</t>
  </si>
  <si>
    <t>T314ECC</t>
  </si>
  <si>
    <t>T980EHQ</t>
  </si>
  <si>
    <t>RAMADHAN RUME</t>
  </si>
  <si>
    <t>TAE499949</t>
  </si>
  <si>
    <t>EX202609-0531</t>
  </si>
  <si>
    <t>T412EEG</t>
  </si>
  <si>
    <t>T826EFK</t>
  </si>
  <si>
    <t>HASSAN OMAR</t>
  </si>
  <si>
    <t>TAE180869</t>
  </si>
  <si>
    <t>TOTAL</t>
  </si>
  <si>
    <t>SIGNATURE:</t>
  </si>
  <si>
    <t>KOLWEZI,</t>
  </si>
  <si>
    <r>
      <rPr>
        <b/>
        <sz val="14"/>
        <color rgb="FF000000"/>
        <rFont val="Arial"/>
        <charset val="134"/>
      </rPr>
      <t xml:space="preserve">LUILU RESSOURCES SAS                       </t>
    </r>
    <r>
      <rPr>
        <b/>
        <sz val="14"/>
        <color rgb="FF000000"/>
        <rFont val="宋体-简"/>
        <charset val="134"/>
      </rPr>
      <t>鲁依鲁资源简易股份有限公司</t>
    </r>
  </si>
  <si>
    <t>Tel:+243843613879</t>
  </si>
  <si>
    <t>LISTE DE COLISAGE</t>
  </si>
  <si>
    <t xml:space="preserve">DESCRIPTION: </t>
  </si>
  <si>
    <t>CONCENTRÉ DE CUIVRE</t>
  </si>
  <si>
    <t>N° DE LISTE DE COLISAGE :</t>
  </si>
  <si>
    <t>DATE:</t>
  </si>
  <si>
    <t>DÉTAILS DU CAMION</t>
  </si>
  <si>
    <t>CHEVAL:</t>
  </si>
  <si>
    <t>CHARIOT-REMORQUE 1 :</t>
  </si>
  <si>
    <t>CHARIOT-REMORQUE 2:</t>
  </si>
  <si>
    <t>CONDUCTEUR:</t>
  </si>
  <si>
    <t>PASSPORT:</t>
  </si>
  <si>
    <t>LIEU DE CHARGEMENT : L’ USINE DE LUILU</t>
  </si>
  <si>
    <t>TRANSPORTEUR:</t>
  </si>
  <si>
    <t>TRANSIT:</t>
  </si>
  <si>
    <t>/</t>
  </si>
  <si>
    <t>BORDER:</t>
  </si>
  <si>
    <t>AGENT:</t>
  </si>
  <si>
    <t>BAG NO.</t>
  </si>
  <si>
    <t>NET WEIGHT(KG)</t>
  </si>
  <si>
    <t>SEAL NO.</t>
  </si>
  <si>
    <t>LU-CC26090500301</t>
  </si>
  <si>
    <t>DC15001</t>
  </si>
  <si>
    <t>LU-CC26090500325</t>
  </si>
  <si>
    <t>DC15025</t>
  </si>
  <si>
    <t>LU-CC26090500253</t>
  </si>
  <si>
    <t>DC15053</t>
  </si>
  <si>
    <t>LU-CC26090500254</t>
  </si>
  <si>
    <t>DC15054</t>
  </si>
  <si>
    <t>LU-CC26090500219</t>
  </si>
  <si>
    <t>DC01919</t>
  </si>
  <si>
    <t>LU-CC26090500331</t>
  </si>
  <si>
    <t>DC15031</t>
  </si>
  <si>
    <t>LU-CC26090500344</t>
  </si>
  <si>
    <t>DC01744</t>
  </si>
  <si>
    <t>LU-CC26090500309</t>
  </si>
  <si>
    <t>DC15009</t>
  </si>
  <si>
    <t>LU-CC26090500276</t>
  </si>
  <si>
    <t>DC15076</t>
  </si>
  <si>
    <t>LU-CC26090500320</t>
  </si>
  <si>
    <t>DC15020</t>
  </si>
  <si>
    <t>LU-CC26090400208</t>
  </si>
  <si>
    <t>DC01908</t>
  </si>
  <si>
    <t>LU-CC26090500287</t>
  </si>
  <si>
    <t>DC15087</t>
  </si>
  <si>
    <t>LU-CC26090500243</t>
  </si>
  <si>
    <t>DC15043</t>
  </si>
  <si>
    <t>LU-CC26090500220</t>
  </si>
  <si>
    <t>DC01920</t>
  </si>
  <si>
    <t>LU-CC26090500350</t>
  </si>
  <si>
    <t>DC01750</t>
  </si>
  <si>
    <t>LU-CC26090500332</t>
  </si>
  <si>
    <t>DC15032</t>
  </si>
  <si>
    <t>LU-CC26090500321</t>
  </si>
  <si>
    <t>DC15021</t>
  </si>
  <si>
    <t>LU-CC26090500310</t>
  </si>
  <si>
    <t>DC15010</t>
  </si>
  <si>
    <t>LU-CC26090500288</t>
  </si>
  <si>
    <t>DC15088</t>
  </si>
  <si>
    <t>LU-CC26090400209</t>
  </si>
  <si>
    <t>DC01909</t>
  </si>
  <si>
    <t>LU-CC26090500333</t>
  </si>
  <si>
    <t>DC15033</t>
  </si>
  <si>
    <t>LU-CC26090500278</t>
  </si>
  <si>
    <t>DC15078</t>
  </si>
  <si>
    <t>TOTAL：</t>
  </si>
  <si>
    <t>BENEFICIARY</t>
  </si>
  <si>
    <t xml:space="preserve"> LUILU RESSOURCES SAS</t>
  </si>
  <si>
    <t>Conseil chaleureux : veuillez vérifier le numéro/poids/lots/pièces du camion avant de signer</t>
  </si>
  <si>
    <t>DRIVER:</t>
  </si>
  <si>
    <t>SUPPLY:</t>
  </si>
  <si>
    <t>TRANSPORT AGENT:</t>
  </si>
  <si>
    <t>SECURITY:</t>
  </si>
  <si>
    <r>
      <rPr>
        <b/>
        <sz val="14"/>
        <rFont val="Arial"/>
        <charset val="134"/>
      </rPr>
      <t xml:space="preserve">LUILU RESSOURCES SAS                       </t>
    </r>
    <r>
      <rPr>
        <b/>
        <sz val="14"/>
        <rFont val="宋体"/>
        <charset val="134"/>
      </rPr>
      <t>鲁依鲁资源简易股份有限公司</t>
    </r>
  </si>
  <si>
    <t>LU-CC25123031</t>
  </si>
  <si>
    <t>111096</t>
  </si>
  <si>
    <t>LU-CC25122860</t>
  </si>
  <si>
    <t>111402</t>
  </si>
  <si>
    <t>LU-CC25122871</t>
  </si>
  <si>
    <t>111413</t>
  </si>
  <si>
    <t>LU-CC25123185</t>
  </si>
  <si>
    <t>111285</t>
  </si>
  <si>
    <t>LU-CC25123160</t>
  </si>
  <si>
    <t>111260</t>
  </si>
  <si>
    <t>LU-CC25123179</t>
  </si>
  <si>
    <t>111279</t>
  </si>
  <si>
    <t>LU-CC25123170</t>
  </si>
  <si>
    <t>111270</t>
  </si>
  <si>
    <t>LU-CC25123178</t>
  </si>
  <si>
    <t>111278</t>
  </si>
  <si>
    <t>LU-CC26010213</t>
  </si>
  <si>
    <t>111613</t>
  </si>
  <si>
    <t>LU-CC26010237</t>
  </si>
  <si>
    <t>111637</t>
  </si>
  <si>
    <t>LU-CC25123169</t>
  </si>
  <si>
    <t>111269</t>
  </si>
  <si>
    <t>LU-CC25123127</t>
  </si>
  <si>
    <t>111227</t>
  </si>
  <si>
    <t>LU-CC25123138</t>
  </si>
  <si>
    <t>111238</t>
  </si>
  <si>
    <t>LU-CC25123103</t>
  </si>
  <si>
    <t>111203</t>
  </si>
  <si>
    <t>LU-CC25123030</t>
  </si>
  <si>
    <t>111027</t>
  </si>
  <si>
    <t>LU-CC25123032</t>
  </si>
  <si>
    <t>111001</t>
  </si>
  <si>
    <t>LU-CC25123151</t>
  </si>
  <si>
    <t>111251</t>
  </si>
  <si>
    <t>LU-CC26072814</t>
  </si>
  <si>
    <t>113614</t>
  </si>
  <si>
    <t>LU-CC260727106</t>
  </si>
  <si>
    <t>113506</t>
  </si>
  <si>
    <t>LU-CC26072789</t>
  </si>
  <si>
    <t>113489</t>
  </si>
  <si>
    <t>LU-CC251218245</t>
  </si>
  <si>
    <t>108827</t>
  </si>
  <si>
    <t>LU-CC260727222</t>
  </si>
  <si>
    <t>114593</t>
  </si>
  <si>
    <t>LU-CC25121713</t>
  </si>
  <si>
    <t>108213</t>
  </si>
  <si>
    <t>LU-CC26072830</t>
  </si>
  <si>
    <t>113630</t>
  </si>
  <si>
    <t>LU-CC26010231</t>
  </si>
  <si>
    <t>111631</t>
  </si>
  <si>
    <t>LU-CC26072802</t>
  </si>
  <si>
    <t>113602</t>
  </si>
  <si>
    <t>LU-CC260727224</t>
  </si>
  <si>
    <t>114595</t>
  </si>
  <si>
    <t>LU-CC26072836</t>
  </si>
  <si>
    <t>113636</t>
  </si>
  <si>
    <t>LU-CC26072857</t>
  </si>
  <si>
    <t>113657</t>
  </si>
  <si>
    <t>LU-CC26072897</t>
  </si>
  <si>
    <t>113697</t>
  </si>
  <si>
    <t>LU-CC26072844</t>
  </si>
  <si>
    <t>113644</t>
  </si>
  <si>
    <t>LU-CC26072843</t>
  </si>
  <si>
    <t>113643</t>
  </si>
  <si>
    <t>LU-CC26072865</t>
  </si>
  <si>
    <t>113665</t>
  </si>
  <si>
    <t>LU-CC26072832</t>
  </si>
  <si>
    <t>113632</t>
  </si>
  <si>
    <t>LU-CC26072864</t>
  </si>
  <si>
    <t>113664</t>
  </si>
  <si>
    <t>LU-CC26072833</t>
  </si>
  <si>
    <t>113633</t>
  </si>
  <si>
    <t>LU-CC26072866</t>
  </si>
  <si>
    <t>113666</t>
  </si>
  <si>
    <t>LU-CC26072834</t>
  </si>
  <si>
    <t>113634</t>
  </si>
  <si>
    <t>LU-CC26072855</t>
  </si>
  <si>
    <t>113655</t>
  </si>
  <si>
    <t>LU-CC26072892</t>
  </si>
  <si>
    <t>113692</t>
  </si>
  <si>
    <t>LU-CC26072893</t>
  </si>
  <si>
    <t>113693</t>
  </si>
  <si>
    <t>LU-CC26072854</t>
  </si>
  <si>
    <t>113654</t>
  </si>
  <si>
    <t>LU-CC26072881</t>
  </si>
  <si>
    <t>113681</t>
  </si>
  <si>
    <t>LU-CC26072896</t>
  </si>
  <si>
    <t>113696</t>
  </si>
  <si>
    <t>LU-CC26072890</t>
  </si>
  <si>
    <t>113690</t>
  </si>
  <si>
    <t>LU-CC260727178</t>
  </si>
  <si>
    <t>113578</t>
  </si>
  <si>
    <t>LU-CC26072899</t>
  </si>
  <si>
    <t>113699</t>
  </si>
  <si>
    <t>LU-CC26072829</t>
  </si>
  <si>
    <t>113629</t>
  </si>
  <si>
    <t>LU-CC26072886</t>
  </si>
  <si>
    <t>113686</t>
  </si>
  <si>
    <r>
      <rPr>
        <b/>
        <sz val="14"/>
        <color rgb="FF000000"/>
        <rFont val="Arial"/>
        <charset val="134"/>
      </rPr>
      <t xml:space="preserve">LUILU RESSOURCES SAS                       </t>
    </r>
    <r>
      <rPr>
        <b/>
        <sz val="14"/>
        <color rgb="FF000000"/>
        <rFont val="宋体"/>
        <charset val="134"/>
      </rPr>
      <t>鲁依鲁资源简易股份有限公司</t>
    </r>
  </si>
  <si>
    <t>LU-CC26090300081</t>
  </si>
  <si>
    <t>DC14481</t>
  </si>
  <si>
    <t>LU-CC26090700942</t>
  </si>
  <si>
    <t>DC14642</t>
  </si>
  <si>
    <t>LU-CC26090300059</t>
  </si>
  <si>
    <t>DC14459</t>
  </si>
  <si>
    <t>LU-CC26090300073</t>
  </si>
  <si>
    <t>DC14473</t>
  </si>
  <si>
    <t>LU-CC26090300089</t>
  </si>
  <si>
    <t>DC14489</t>
  </si>
  <si>
    <t>LU-CC26090300099</t>
  </si>
  <si>
    <t>DC14499</t>
  </si>
  <si>
    <t>LU-CC26090300066</t>
  </si>
  <si>
    <t>DC14466</t>
  </si>
  <si>
    <t>LU-CC26090300052</t>
  </si>
  <si>
    <t>DC14452</t>
  </si>
  <si>
    <t>LU-CC26090300074</t>
  </si>
  <si>
    <t>DC14474</t>
  </si>
  <si>
    <t>LU-CC26090300082</t>
  </si>
  <si>
    <t>DC14482</t>
  </si>
  <si>
    <t>LU-CC26090300090</t>
  </si>
  <si>
    <t>DC14490</t>
  </si>
  <si>
    <t>LU-CC26090300067</t>
  </si>
  <si>
    <t>DC14467</t>
  </si>
  <si>
    <t>LU-CC26090300051</t>
  </si>
  <si>
    <t>DC14451</t>
  </si>
  <si>
    <t>LU-CC26090300102</t>
  </si>
  <si>
    <t>DC14402</t>
  </si>
  <si>
    <t>LU-CC26090300060</t>
  </si>
  <si>
    <t>DC14460</t>
  </si>
  <si>
    <t>LU-CC26090300100</t>
  </si>
  <si>
    <t>DC14500</t>
  </si>
  <si>
    <t>LU-CC26090300053</t>
  </si>
  <si>
    <t>DC14453</t>
  </si>
  <si>
    <t>LU-CC26090300068</t>
  </si>
  <si>
    <t>DC14468</t>
  </si>
  <si>
    <t>LU-CC26090300083</t>
  </si>
  <si>
    <t>DC14483</t>
  </si>
  <si>
    <t>LU-CC26090300041</t>
  </si>
  <si>
    <t>DC14441</t>
  </si>
  <si>
    <t>LU-CC26090300042</t>
  </si>
  <si>
    <t>DC14442</t>
  </si>
  <si>
    <t>LU-CC26090300108</t>
  </si>
  <si>
    <t>DC14408</t>
  </si>
  <si>
    <t>LU-CC26090300094</t>
  </si>
  <si>
    <t>DC14494</t>
  </si>
  <si>
    <t>LU-CC26090300085</t>
  </si>
  <si>
    <t>DC14485</t>
  </si>
  <si>
    <t>LU-CC26090300056</t>
  </si>
  <si>
    <t>DC14456</t>
  </si>
  <si>
    <t>LU-CC26090300070</t>
  </si>
  <si>
    <t>DC14470</t>
  </si>
  <si>
    <t>LU-CC26090300078</t>
  </si>
  <si>
    <t>DC14478</t>
  </si>
  <si>
    <t>LU-CC26090300086</t>
  </si>
  <si>
    <t>DC14486</t>
  </si>
  <si>
    <t>LU-CC26090300071</t>
  </si>
  <si>
    <t>DC14471</t>
  </si>
  <si>
    <t>LU-CC26090300079</t>
  </si>
  <si>
    <t>DC14479</t>
  </si>
  <si>
    <t>LU-CC26090300095</t>
  </si>
  <si>
    <t>DC14495</t>
  </si>
  <si>
    <t>LU-CC26090300048</t>
  </si>
  <si>
    <t>DC14448</t>
  </si>
  <si>
    <t>LU-CC26090300049</t>
  </si>
  <si>
    <t>DC14449</t>
  </si>
  <si>
    <t>LU-CC26090300064</t>
  </si>
  <si>
    <t>DC14464</t>
  </si>
  <si>
    <t>LU-CC26090300072</t>
  </si>
  <si>
    <t>DC14472</t>
  </si>
  <si>
    <t>LU-CC26090300096</t>
  </si>
  <si>
    <t>DC14496</t>
  </si>
  <si>
    <t>LU-CC26090300087</t>
  </si>
  <si>
    <t>DC14487</t>
  </si>
  <si>
    <t>LU-CC26090300080</t>
  </si>
  <si>
    <t>DC14480</t>
  </si>
  <si>
    <t>LU-CC26090300057</t>
  </si>
  <si>
    <t>DC14457</t>
  </si>
  <si>
    <t>LU-CC26090300097</t>
  </si>
  <si>
    <t>DC14497</t>
  </si>
  <si>
    <t>LU-CC26090300050</t>
  </si>
  <si>
    <t>DC02023</t>
  </si>
  <si>
    <t>LU-CC26090400159</t>
  </si>
  <si>
    <t>DC01959</t>
  </si>
  <si>
    <t>LU-CC26090400128</t>
  </si>
  <si>
    <t>DC14428</t>
  </si>
  <si>
    <t>LU-CC26090400149</t>
  </si>
  <si>
    <t>DC01949</t>
  </si>
  <si>
    <t>LU-CC26090400141</t>
  </si>
  <si>
    <t>DC01941</t>
  </si>
  <si>
    <t>LU-CC26090400140</t>
  </si>
  <si>
    <t>DC01940</t>
  </si>
  <si>
    <t>LU-CC26090400151</t>
  </si>
  <si>
    <t>DC01951</t>
  </si>
  <si>
    <t>LU-CC26090400123</t>
  </si>
  <si>
    <t>DC14423</t>
  </si>
  <si>
    <t>LU-CC26090400127</t>
  </si>
  <si>
    <t>DC14427</t>
  </si>
  <si>
    <t>LU-CC26090400148</t>
  </si>
  <si>
    <t>DC01948</t>
  </si>
  <si>
    <t>LU-CC26090400124</t>
  </si>
  <si>
    <t>DC14424</t>
  </si>
  <si>
    <t>LU-CC26090300091</t>
  </si>
  <si>
    <t>DC14491</t>
  </si>
  <si>
    <t>LU-CC26090300061</t>
  </si>
  <si>
    <t>DC14461</t>
  </si>
  <si>
    <t>LU-CC26090300107</t>
  </si>
  <si>
    <t>DC14407</t>
  </si>
  <si>
    <t>LU-CC26090300084</t>
  </si>
  <si>
    <t>DC14484</t>
  </si>
  <si>
    <t>LU-CC26090300069</t>
  </si>
  <si>
    <t>DC14469</t>
  </si>
  <si>
    <t>LU-CC26090300077</t>
  </si>
  <si>
    <t>DC14477</t>
  </si>
  <si>
    <t>LU-CC26090300054</t>
  </si>
  <si>
    <t>DC14454</t>
  </si>
  <si>
    <t>LU-CC26090300047</t>
  </si>
  <si>
    <t>DC14447</t>
  </si>
  <si>
    <t>LU-CC26090300062</t>
  </si>
  <si>
    <t>DC14462</t>
  </si>
  <si>
    <t>LU-CC26090300045</t>
  </si>
  <si>
    <t>DC14445</t>
  </si>
  <si>
    <t>LU-CC26090300065</t>
  </si>
  <si>
    <t>DC14465</t>
  </si>
  <si>
    <t>LU-CC26090300103</t>
  </si>
  <si>
    <t>DC14403</t>
  </si>
  <si>
    <t>LU-CC26090400163</t>
  </si>
  <si>
    <t>DC01963</t>
  </si>
  <si>
    <t>LU-CC26090400119</t>
  </si>
  <si>
    <t>DC14419</t>
  </si>
  <si>
    <t>LU-CC26090400144</t>
  </si>
  <si>
    <t>DC01944</t>
  </si>
  <si>
    <t>LU-CC26090400132</t>
  </si>
  <si>
    <t>DC14432</t>
  </si>
  <si>
    <t>LU-CC26090400156</t>
  </si>
  <si>
    <t>DC01956</t>
  </si>
  <si>
    <t>LU-CC26090400136</t>
  </si>
  <si>
    <t>DC14436</t>
  </si>
  <si>
    <t>LU-CC26090400155</t>
  </si>
  <si>
    <t>DC01955</t>
  </si>
  <si>
    <t>LU-CC26090400131</t>
  </si>
  <si>
    <t>DC14431</t>
  </si>
  <si>
    <t>LU-CC26090400145</t>
  </si>
  <si>
    <t>DC01945</t>
  </si>
  <si>
    <t>LU-CC26090400137</t>
  </si>
  <si>
    <t>DC14437</t>
  </si>
  <si>
    <t>LU-CC26090400130</t>
  </si>
  <si>
    <t>DC14430</t>
  </si>
  <si>
    <t>LU-CC26090400147</t>
  </si>
  <si>
    <t>DC01947</t>
  </si>
  <si>
    <t>LU-CC26090400129</t>
  </si>
  <si>
    <t>DC14429</t>
  </si>
  <si>
    <t>LU-CC26090400154</t>
  </si>
  <si>
    <t>DC01954</t>
  </si>
  <si>
    <t>LU-CC26090400153</t>
  </si>
  <si>
    <t>DC01953</t>
  </si>
  <si>
    <t>LU-CC26090400139</t>
  </si>
  <si>
    <t>DC01939</t>
  </si>
  <si>
    <t>LU-CC26090400121</t>
  </si>
  <si>
    <t>DC14421</t>
  </si>
  <si>
    <t>LU-CC26090400160</t>
  </si>
  <si>
    <t>DC01960</t>
  </si>
  <si>
    <t>LU-CC26090400146</t>
  </si>
  <si>
    <t>DC01946</t>
  </si>
  <si>
    <t>LU-CC26090400152</t>
  </si>
  <si>
    <t>DC01952</t>
  </si>
  <si>
    <t>LU-CC26090400122</t>
  </si>
  <si>
    <t>DC14422</t>
  </si>
  <si>
    <t>LU-CC26090400126</t>
  </si>
  <si>
    <t>DC14426</t>
  </si>
  <si>
    <t>LU-CC26090300092</t>
  </si>
  <si>
    <t>DC14492</t>
  </si>
  <si>
    <t>LU-CC26090300101</t>
  </si>
  <si>
    <t>DC14401</t>
  </si>
  <si>
    <t>LU-CC26090400186</t>
  </si>
  <si>
    <t>DC01986</t>
  </si>
  <si>
    <t>LU-CC26090400187</t>
  </si>
  <si>
    <t>DC01987</t>
  </si>
  <si>
    <t>LU-CC26090400174</t>
  </si>
  <si>
    <t>DC01974</t>
  </si>
  <si>
    <t>LU-CC26090400175</t>
  </si>
  <si>
    <t>DC01975</t>
  </si>
  <si>
    <t>LU-CC26090400210</t>
  </si>
  <si>
    <t>DC01910</t>
  </si>
  <si>
    <t>LU-CC26090400199</t>
  </si>
  <si>
    <t>DC01999</t>
  </si>
  <si>
    <t>LU-CC26090400211</t>
  </si>
  <si>
    <t>DC01911</t>
  </si>
  <si>
    <t>LU-CC26090400176</t>
  </si>
  <si>
    <t>DC01976</t>
  </si>
  <si>
    <t>LU-CC26090400200</t>
  </si>
  <si>
    <t>DC02000</t>
  </si>
  <si>
    <t>LU-CC26090400189</t>
  </si>
  <si>
    <t>DC01989</t>
  </si>
  <si>
    <t>LU-CC26090400177</t>
  </si>
  <si>
    <t>DC01977</t>
  </si>
  <si>
    <t>LU-CC26090400134</t>
  </si>
  <si>
    <t>DC14434</t>
  </si>
  <si>
    <t>LU-CC26090400120</t>
  </si>
  <si>
    <t>DC14420</t>
  </si>
  <si>
    <t>LU-CC26090400142</t>
  </si>
  <si>
    <t>DC01942</t>
  </si>
  <si>
    <t>LU-CC26090400125</t>
  </si>
  <si>
    <t>DC14425</t>
  </si>
  <si>
    <t>LU-CC26090400164</t>
  </si>
  <si>
    <t>DC01964</t>
  </si>
  <si>
    <t>LU-CC26090400143</t>
  </si>
  <si>
    <t>DC01943</t>
  </si>
  <si>
    <t>LU-CC26090400135</t>
  </si>
  <si>
    <t>DC14435</t>
  </si>
  <si>
    <t>LU-CC26090400157</t>
  </si>
  <si>
    <t>DC01957</t>
  </si>
  <si>
    <t>LU-CC26090400133</t>
  </si>
  <si>
    <t>DC14433</t>
  </si>
  <si>
    <t>LU-CC26090300076</t>
  </si>
  <si>
    <t>DC14476</t>
  </si>
  <si>
    <t>LU-CC26090400138</t>
  </si>
  <si>
    <t>DC14438</t>
  </si>
  <si>
    <t>LU-CC26090300063</t>
  </si>
  <si>
    <t>DC14463</t>
  </si>
  <si>
    <t>LU-CC26090300046</t>
  </si>
  <si>
    <t>DC14446</t>
  </si>
  <si>
    <t>LUILU RESSOURCES SAS                       鲁依鲁资源简易股份有限公司</t>
  </si>
  <si>
    <t>LU-CC26090500412</t>
  </si>
  <si>
    <t>DC01712</t>
  </si>
  <si>
    <t>LU-CC26090700746</t>
  </si>
  <si>
    <t>DC01446</t>
  </si>
  <si>
    <t>LU-CC26090700709</t>
  </si>
  <si>
    <t>DC01409</t>
  </si>
  <si>
    <t>LU-CC26090700697</t>
  </si>
  <si>
    <t>DC14997</t>
  </si>
  <si>
    <t>LU-CC26090600501</t>
  </si>
  <si>
    <t>DC15301</t>
  </si>
  <si>
    <t>LU-CC26090700700</t>
  </si>
  <si>
    <t>DC02044</t>
  </si>
  <si>
    <t>LU-CC26090600456</t>
  </si>
  <si>
    <t>DC15356</t>
  </si>
  <si>
    <t>LU-CC26090700710</t>
  </si>
  <si>
    <t>DC01410</t>
  </si>
  <si>
    <t>LU-CC26090700696</t>
  </si>
  <si>
    <t>DC14996</t>
  </si>
  <si>
    <t>LU-CC26090600468</t>
  </si>
  <si>
    <t>DC15368</t>
  </si>
  <si>
    <t>LU-CC26090700698</t>
  </si>
  <si>
    <t>DC14998</t>
  </si>
  <si>
    <t>LU-CC26090600440</t>
  </si>
  <si>
    <t>DC15340</t>
  </si>
  <si>
    <t>LU-CC26090700751</t>
  </si>
  <si>
    <t>DC01451</t>
  </si>
  <si>
    <t>LU-CC26090600430</t>
  </si>
  <si>
    <t>DC01730</t>
  </si>
  <si>
    <t>LU-CC26090801063</t>
  </si>
  <si>
    <t>DC02263</t>
  </si>
  <si>
    <t>LU-CC26090801058</t>
  </si>
  <si>
    <t>DC02258</t>
  </si>
  <si>
    <t>LU-CC26090600516</t>
  </si>
  <si>
    <t>DC15316</t>
  </si>
  <si>
    <t>LU-CC26090600514</t>
  </si>
  <si>
    <t>DC15314</t>
  </si>
  <si>
    <t>LU-CC26090600525</t>
  </si>
  <si>
    <t>DC15325</t>
  </si>
  <si>
    <t>LU-CC26090600523</t>
  </si>
  <si>
    <t>DC15323</t>
  </si>
  <si>
    <t>LU-CC26090600519</t>
  </si>
  <si>
    <t>DC15319</t>
  </si>
  <si>
    <t>LU-CC26090600510</t>
  </si>
  <si>
    <t>DC15310</t>
  </si>
  <si>
    <t>LU-CC26090600526</t>
  </si>
  <si>
    <t>DC15326</t>
  </si>
  <si>
    <t>LU-CC26090600543</t>
  </si>
  <si>
    <t>DC19943</t>
  </si>
  <si>
    <t>LU-CC26090500388</t>
  </si>
  <si>
    <t>DC01788</t>
  </si>
  <si>
    <t>LU-CC26090500377</t>
  </si>
  <si>
    <t>DC01777</t>
  </si>
  <si>
    <t>LU-CC26090500408</t>
  </si>
  <si>
    <t>DC01708</t>
  </si>
  <si>
    <t>LU-CC26090600464</t>
  </si>
  <si>
    <t>DC15364</t>
  </si>
  <si>
    <t>LU-CC26090600451</t>
  </si>
  <si>
    <t>DC15351</t>
  </si>
  <si>
    <t>LU-CC26090600452</t>
  </si>
  <si>
    <t>DC15352</t>
  </si>
  <si>
    <t>LU-CC26090500417</t>
  </si>
  <si>
    <t>DC01717</t>
  </si>
  <si>
    <t>LU-CC26090600435</t>
  </si>
  <si>
    <t>DC02067</t>
  </si>
  <si>
    <t>LU-CC26090600453</t>
  </si>
  <si>
    <t>DC15353</t>
  </si>
  <si>
    <t>LU-CC26090600465</t>
  </si>
  <si>
    <t>DC15365</t>
  </si>
  <si>
    <t>LU-CC26090600434</t>
  </si>
  <si>
    <t>DC01734</t>
  </si>
  <si>
    <t>LU-CC26090600455</t>
  </si>
  <si>
    <t>DC15355</t>
  </si>
  <si>
    <t>LU-CC26090500418</t>
  </si>
  <si>
    <t>DC01718</t>
  </si>
  <si>
    <t>LU-CC26090600466</t>
  </si>
  <si>
    <t>DC15366</t>
  </si>
  <si>
    <t>LU-CC26090700694</t>
  </si>
  <si>
    <t>DC14994</t>
  </si>
  <si>
    <t>LU-CC26090500381</t>
  </si>
  <si>
    <t>DC01781</t>
  </si>
  <si>
    <t>LU-CC26090500391</t>
  </si>
  <si>
    <t>DC01791</t>
  </si>
  <si>
    <t>LU-CC26090500372</t>
  </si>
  <si>
    <t>DC01772</t>
  </si>
  <si>
    <t>LU-CC26090600427</t>
  </si>
  <si>
    <t>DC01727</t>
  </si>
  <si>
    <t>LU-CC26090600433</t>
  </si>
  <si>
    <t>DC01733</t>
  </si>
  <si>
    <t>LU-CC26090500378</t>
  </si>
  <si>
    <t>DC01778</t>
  </si>
  <si>
    <t>LU-CC26090500358</t>
  </si>
  <si>
    <t>DC01758</t>
  </si>
  <si>
    <t>LU-CC26090600485</t>
  </si>
  <si>
    <t>DC15385</t>
  </si>
  <si>
    <t>LU-CC26090600478</t>
  </si>
  <si>
    <t>DC15378</t>
  </si>
  <si>
    <t>LU-CC26090600498</t>
  </si>
  <si>
    <t>DC15398</t>
  </si>
  <si>
    <t>LU-CC26090500398</t>
  </si>
  <si>
    <t>DC01798</t>
  </si>
  <si>
    <t>LU-CC26090500379</t>
  </si>
  <si>
    <t>DC01779</t>
  </si>
  <si>
    <t>LU-CC26090500371</t>
  </si>
  <si>
    <t>DC01771</t>
  </si>
  <si>
    <t>LU-CC26090500354</t>
  </si>
  <si>
    <t>DC01754</t>
  </si>
  <si>
    <t>LU-CC26090500368</t>
  </si>
  <si>
    <t>DC01768</t>
  </si>
  <si>
    <t>LU-CC26090500389</t>
  </si>
  <si>
    <t>DC01789</t>
  </si>
  <si>
    <t>LU-CC26090500375</t>
  </si>
  <si>
    <t>DC01775</t>
  </si>
  <si>
    <t>LU-CC26090500355</t>
  </si>
  <si>
    <t>DC01755</t>
  </si>
  <si>
    <t>LU-CC26090500409</t>
  </si>
  <si>
    <t>DC01709</t>
  </si>
  <si>
    <t>LU-CC26090500376</t>
  </si>
  <si>
    <t>DC01776</t>
  </si>
  <si>
    <t>LU-CC26090500356</t>
  </si>
  <si>
    <t>DC01756</t>
  </si>
  <si>
    <t>LU-CC26090500380</t>
  </si>
  <si>
    <t>DC01780</t>
  </si>
  <si>
    <t>LU-CC26090500370</t>
  </si>
  <si>
    <t>DC01770</t>
  </si>
  <si>
    <t>LU-CC26090500390</t>
  </si>
  <si>
    <t>DC01790</t>
  </si>
  <si>
    <t>LU-CC26090500399</t>
  </si>
  <si>
    <t>DC01799</t>
  </si>
  <si>
    <t>LU-CC26090500410</t>
  </si>
  <si>
    <t>DC01710</t>
  </si>
  <si>
    <t>LU-CC26090500400</t>
  </si>
  <si>
    <t>DC01800</t>
  </si>
  <si>
    <t>LU-CC26090500411</t>
  </si>
  <si>
    <t>DC01711</t>
  </si>
  <si>
    <t>LU-CC26090500401</t>
  </si>
  <si>
    <t>DC01701</t>
  </si>
  <si>
    <t>LU-CC26090700707</t>
  </si>
  <si>
    <t>DC01407</t>
  </si>
  <si>
    <t>LU-CC26090700745</t>
  </si>
  <si>
    <t>DC01445</t>
  </si>
  <si>
    <t>LU-CC26090500393</t>
  </si>
  <si>
    <t>DC01793</t>
  </si>
  <si>
    <t>LU-CC26090700695</t>
  </si>
  <si>
    <t>DC14995</t>
  </si>
  <si>
    <t>LU-CC26090600476</t>
  </si>
  <si>
    <t>DC15376</t>
  </si>
  <si>
    <t>LU-CC26090600432</t>
  </si>
  <si>
    <t>DC01732</t>
  </si>
  <si>
    <t>LU-CC26090600499</t>
  </si>
  <si>
    <t>DC15399</t>
  </si>
  <si>
    <t>LU-CC26090500382</t>
  </si>
  <si>
    <t>DC01782</t>
  </si>
  <si>
    <t>LU-CC26090500402</t>
  </si>
  <si>
    <t>DC01702</t>
  </si>
  <si>
    <t>LU-CC26090700721</t>
  </si>
  <si>
    <t>DC01421</t>
  </si>
  <si>
    <t>LU-CC26090500360</t>
  </si>
  <si>
    <t>DC01760</t>
  </si>
  <si>
    <t>LU-CC26090500383</t>
  </si>
  <si>
    <t>DC01783</t>
  </si>
  <si>
    <t>LU-CC26090600428</t>
  </si>
  <si>
    <t>DC01728</t>
  </si>
  <si>
    <t>LU-CC26090600487</t>
  </si>
  <si>
    <t>DC15387</t>
  </si>
  <si>
    <t>LU-CC26090600431</t>
  </si>
  <si>
    <t>DC01731</t>
  </si>
  <si>
    <t>LU-CC26090600477</t>
  </si>
  <si>
    <t>DC15377</t>
  </si>
  <si>
    <t>LU-CC26090600491</t>
  </si>
  <si>
    <t>DC15391</t>
  </si>
  <si>
    <t>LU-CC26090600459</t>
  </si>
  <si>
    <t>DC15359</t>
  </si>
  <si>
    <t>LU-CC26090500362</t>
  </si>
  <si>
    <t>DC01762</t>
  </si>
  <si>
    <t>LU-CC26090700711</t>
  </si>
  <si>
    <t>DC01411</t>
  </si>
  <si>
    <t>LU-CC26090600429</t>
  </si>
  <si>
    <t>DC01729</t>
  </si>
  <si>
    <t>LU-CC26090600449</t>
  </si>
  <si>
    <t>DC15349</t>
  </si>
  <si>
    <t>LU-CC26090700722</t>
  </si>
  <si>
    <t>DC01422</t>
  </si>
  <si>
    <t>LU-CC26090801059</t>
  </si>
  <si>
    <t>DC02259</t>
  </si>
  <si>
    <t>LU-CC26090600515</t>
  </si>
  <si>
    <t>DC15315</t>
  </si>
  <si>
    <t>LU-CC26090600512</t>
  </si>
  <si>
    <t>DC15312</t>
  </si>
  <si>
    <t>LU-CC26090600520</t>
  </si>
  <si>
    <t>DC15320</t>
  </si>
  <si>
    <t>LU-CC26090600517</t>
  </si>
  <si>
    <t>DC15317</t>
  </si>
  <si>
    <t>LU-CC26090600532</t>
  </si>
  <si>
    <t>DC15332</t>
  </si>
  <si>
    <t>LU-CC26090600530</t>
  </si>
  <si>
    <t>DC15330</t>
  </si>
  <si>
    <t>LU-CC26090600539</t>
  </si>
  <si>
    <t>DC19939</t>
  </si>
  <si>
    <t>LU-CC26090600528</t>
  </si>
  <si>
    <t>DC15328</t>
  </si>
  <si>
    <t>LU-CC26090600527</t>
  </si>
  <si>
    <t>DC15327</t>
  </si>
  <si>
    <t>LU-CC26090600533</t>
  </si>
  <si>
    <t>DC15333</t>
  </si>
  <si>
    <t>LU-CC26090600529</t>
  </si>
  <si>
    <t>DC15329</t>
  </si>
  <si>
    <t>LU-CC26090600535</t>
  </si>
  <si>
    <t>DC15335</t>
  </si>
  <si>
    <t>LU-CC26090600537</t>
  </si>
  <si>
    <t>DC15337</t>
  </si>
  <si>
    <t>LU-CC26090600553</t>
  </si>
  <si>
    <t>DC19953</t>
  </si>
  <si>
    <t>LU-CC26090600536</t>
  </si>
  <si>
    <t>DC15336</t>
  </si>
  <si>
    <t>LU-CC26090600549</t>
  </si>
  <si>
    <t>DC19949</t>
  </si>
  <si>
    <t>LU-CC26090600544</t>
  </si>
  <si>
    <t>DC19944</t>
  </si>
  <si>
    <t>LU-CC26090600545</t>
  </si>
  <si>
    <t>DC19945</t>
  </si>
  <si>
    <t>LU-CC26090600561</t>
  </si>
  <si>
    <t>DC19961</t>
  </si>
  <si>
    <t>LU-CC26090600546</t>
  </si>
  <si>
    <t>DC19946</t>
  </si>
  <si>
    <t>LU-CC26090600555</t>
  </si>
  <si>
    <t>DC19955</t>
  </si>
  <si>
    <t>LU-CC26090600548</t>
  </si>
  <si>
    <t>DC19948</t>
  </si>
  <si>
    <t>LU-CC26090600558</t>
  </si>
  <si>
    <t>DC19958</t>
  </si>
  <si>
    <t>LU-CC26090600572</t>
  </si>
  <si>
    <t>DC19972</t>
  </si>
  <si>
    <t>LU-CC26090600570</t>
  </si>
  <si>
    <t>DC19970</t>
  </si>
  <si>
    <t>LU-CC26090600569</t>
  </si>
  <si>
    <t>DC19969</t>
  </si>
  <si>
    <t>LU-CC26090600574</t>
  </si>
  <si>
    <t>DC19974</t>
  </si>
  <si>
    <t>LU-CC26090600593</t>
  </si>
  <si>
    <t>DC19993</t>
  </si>
  <si>
    <t>LU-CC26090600583</t>
  </si>
  <si>
    <t>DC19983</t>
  </si>
  <si>
    <t>LU-CC26090600590</t>
  </si>
  <si>
    <t>DC19990</t>
  </si>
  <si>
    <t>LU-CC26090600513</t>
  </si>
  <si>
    <t>DC15313</t>
  </si>
  <si>
    <t>LU-CC26090600524</t>
  </si>
  <si>
    <t>DC15324</t>
  </si>
  <si>
    <t>LU-CC26090600521</t>
  </si>
  <si>
    <t>DC15321</t>
  </si>
  <si>
    <t>LU-CC26090600522</t>
  </si>
  <si>
    <t>DC15322</t>
  </si>
  <si>
    <t>LU-CC26090600534</t>
  </si>
  <si>
    <t>DC15334</t>
  </si>
  <si>
    <t>LU-CC26090600511</t>
  </si>
  <si>
    <t>DC15311</t>
  </si>
  <si>
    <t>LU-CC26090600531</t>
  </si>
  <si>
    <t>DC15331</t>
  </si>
  <si>
    <t>LU-CC26090600541</t>
  </si>
  <si>
    <t>DC19941</t>
  </si>
  <si>
    <t>LU-CC26090600540</t>
  </si>
  <si>
    <t>DC19940</t>
  </si>
  <si>
    <t>LU-CC26090600518</t>
  </si>
  <si>
    <t>DC15318</t>
  </si>
  <si>
    <t>LU-CC26090600542</t>
  </si>
  <si>
    <t>DC19942</t>
  </si>
  <si>
    <t>LU-CC26090600552</t>
  </si>
  <si>
    <t>DC19952</t>
  </si>
  <si>
    <t>LU-CC26090600551</t>
  </si>
  <si>
    <t>DC19951</t>
  </si>
  <si>
    <t>LU-CC26090600538</t>
  </si>
  <si>
    <t>DC15338</t>
  </si>
  <si>
    <t>LU-CC26090600560</t>
  </si>
  <si>
    <t>DC19960</t>
  </si>
  <si>
    <t>LU-CC26090600559</t>
  </si>
  <si>
    <t>DC19959</t>
  </si>
  <si>
    <t>LU-CC26090600563</t>
  </si>
  <si>
    <t>DC19963</t>
  </si>
  <si>
    <t>LU-CC26090600554</t>
  </si>
  <si>
    <t>DC19954</t>
  </si>
  <si>
    <t>LU-CC26090600562</t>
  </si>
  <si>
    <t>DC19962</t>
  </si>
  <si>
    <t>LU-CC26090600547</t>
  </si>
  <si>
    <t>DC19947</t>
  </si>
  <si>
    <t>LU-CC26090600582</t>
  </si>
  <si>
    <t>DC19982</t>
  </si>
  <si>
    <t>LU-CC26090600556</t>
  </si>
  <si>
    <t>DC19956</t>
  </si>
  <si>
    <t>LU-CC26090600580</t>
  </si>
  <si>
    <t>DC19980</t>
  </si>
  <si>
    <t>LU-CC26090600579</t>
  </si>
  <si>
    <t>DC19979</t>
  </si>
  <si>
    <t>LU-CC26090600577</t>
  </si>
  <si>
    <t>DC19977</t>
  </si>
  <si>
    <t>LU-CC26090600573</t>
  </si>
  <si>
    <t>DC19973</t>
  </si>
  <si>
    <t>LU-CC26090600571</t>
  </si>
  <si>
    <t>DC19971</t>
  </si>
  <si>
    <t>LU-CC26090600581</t>
  </si>
  <si>
    <t>DC19981</t>
  </si>
  <si>
    <t>LU-CC26090600575</t>
  </si>
  <si>
    <t>DC19975</t>
  </si>
  <si>
    <t>LU-CC26090600565</t>
  </si>
  <si>
    <t>DC19965</t>
  </si>
  <si>
    <t>LU-CC26090600567</t>
  </si>
  <si>
    <t>DC19967</t>
  </si>
  <si>
    <t>LU-CC26090600576</t>
  </si>
  <si>
    <t>DC19976</t>
  </si>
  <si>
    <t>LU-CC26090600578</t>
  </si>
  <si>
    <t>DC19978</t>
  </si>
  <si>
    <t>LU-CC26090600592</t>
  </si>
  <si>
    <t>DC19992</t>
  </si>
  <si>
    <t>LU-CC26090600588</t>
  </si>
  <si>
    <t>DC19988</t>
  </si>
  <si>
    <t>LU-CC26090600589</t>
  </si>
  <si>
    <t>DC19989</t>
  </si>
  <si>
    <t>LU-CC26090600587</t>
  </si>
  <si>
    <t>DC19987</t>
  </si>
  <si>
    <t>LU-CC26090600557</t>
  </si>
  <si>
    <t>DC19957</t>
  </si>
  <si>
    <t>LU-CC26090600591</t>
  </si>
  <si>
    <t>DC19991</t>
  </si>
  <si>
    <t>LU-CC26090600585</t>
  </si>
  <si>
    <t>DC19985</t>
  </si>
  <si>
    <t>LU-CC26090600586</t>
  </si>
  <si>
    <t>DC19986</t>
  </si>
  <si>
    <t>LU-CC26090600584</t>
  </si>
  <si>
    <t>DC19984</t>
  </si>
  <si>
    <t>LU-CC26090700627</t>
  </si>
  <si>
    <t>DC19927</t>
  </si>
  <si>
    <t>LU-CC26090700617</t>
  </si>
  <si>
    <t>DC19917</t>
  </si>
  <si>
    <t>LU-CC26090700623</t>
  </si>
  <si>
    <t>DC19923</t>
  </si>
  <si>
    <t>LU-CC26090700629</t>
  </si>
  <si>
    <t>DC19929</t>
  </si>
  <si>
    <t>LU-CC26090700620</t>
  </si>
  <si>
    <t>DC19920</t>
  </si>
  <si>
    <t>LU-CC26090700619</t>
  </si>
  <si>
    <t>DC19919</t>
  </si>
  <si>
    <t>LU-CC26090700610</t>
  </si>
  <si>
    <t>DC19910</t>
  </si>
  <si>
    <t>LU-CC26090700618</t>
  </si>
  <si>
    <t>DC19918</t>
  </si>
  <si>
    <t>LU-CC26090600605</t>
  </si>
  <si>
    <t>DC19905</t>
  </si>
  <si>
    <t>LU-CC26090700628</t>
  </si>
  <si>
    <t>DC19928</t>
  </si>
  <si>
    <t>LU-CC26090600606</t>
  </si>
  <si>
    <t>DC19906</t>
  </si>
  <si>
    <t>LU-CC26090600596</t>
  </si>
  <si>
    <t>DC19996</t>
  </si>
  <si>
    <t>LU-CC26090700625</t>
  </si>
  <si>
    <t>DC19925</t>
  </si>
  <si>
    <t>LU-CC26090600597</t>
  </si>
  <si>
    <t>DC19997</t>
  </si>
  <si>
    <t>LU-CC26090700607</t>
  </si>
  <si>
    <t>DC19907</t>
  </si>
  <si>
    <t>LU-CC26090600595</t>
  </si>
  <si>
    <t>DC19995</t>
  </si>
  <si>
    <t>LU-CC26090700621</t>
  </si>
  <si>
    <t>DC19921</t>
  </si>
  <si>
    <t>LU-CC26090700614</t>
  </si>
  <si>
    <t>DC19914</t>
  </si>
  <si>
    <t>LU-CC26090700611</t>
  </si>
  <si>
    <t>DC19911</t>
  </si>
  <si>
    <t>LU-CC26090700615</t>
  </si>
  <si>
    <t>DC19915</t>
  </si>
  <si>
    <t>LU-CC26090600594</t>
  </si>
  <si>
    <t>DC19994</t>
  </si>
  <si>
    <t>LU-CC26090600603</t>
  </si>
  <si>
    <t>DC19903</t>
  </si>
  <si>
    <t>LU-CC26090600599</t>
  </si>
  <si>
    <t>DC19999</t>
  </si>
  <si>
    <t>LU-CC26090700639</t>
  </si>
  <si>
    <t>DC14939</t>
  </si>
  <si>
    <t>LU-CC26090700636</t>
  </si>
  <si>
    <t>DC19936</t>
  </si>
  <si>
    <t>LU-CC26090700637</t>
  </si>
  <si>
    <t>DC19937</t>
  </si>
  <si>
    <t>LU-CC26090700631</t>
  </si>
  <si>
    <t>DC19931</t>
  </si>
  <si>
    <t>LU-CC26090600568</t>
  </si>
  <si>
    <t>DC19968</t>
  </si>
  <si>
    <t>LU-CC26090700652</t>
  </si>
  <si>
    <t>DC14952</t>
  </si>
  <si>
    <t>LU-CC26090500423</t>
  </si>
  <si>
    <t>DC01723</t>
  </si>
  <si>
    <t>LU-CC260806167</t>
  </si>
  <si>
    <t>109467</t>
  </si>
  <si>
    <t>LU-CC26080703</t>
  </si>
  <si>
    <t>109503</t>
  </si>
  <si>
    <t>LU-CC25121162</t>
  </si>
  <si>
    <t>103950</t>
  </si>
  <si>
    <t>LU-CC26080712</t>
  </si>
  <si>
    <t>109512</t>
  </si>
  <si>
    <t>LU-CC26072014</t>
  </si>
  <si>
    <t>114214</t>
  </si>
  <si>
    <t>LU-CC260728138</t>
  </si>
  <si>
    <t>113738</t>
  </si>
  <si>
    <t>LU-CC25122431</t>
  </si>
  <si>
    <t>111019</t>
  </si>
  <si>
    <t>LU-CC26072036</t>
  </si>
  <si>
    <t>114236</t>
  </si>
  <si>
    <t>LU-CC26071934</t>
  </si>
  <si>
    <t>114034</t>
  </si>
  <si>
    <t>LU-CC260108101</t>
  </si>
  <si>
    <t>111881</t>
  </si>
  <si>
    <t>LU-CC251120212</t>
  </si>
  <si>
    <t>115422</t>
  </si>
  <si>
    <t>LU-CC26011115</t>
  </si>
  <si>
    <t>111945</t>
  </si>
  <si>
    <t>LU-CC26072903</t>
  </si>
  <si>
    <t>113803</t>
  </si>
  <si>
    <t>LU-CC26072438</t>
  </si>
  <si>
    <t>114938</t>
  </si>
  <si>
    <t>LU-CC260722149</t>
  </si>
  <si>
    <t>114749</t>
  </si>
  <si>
    <t>LU-CC260720128</t>
  </si>
  <si>
    <t>114178</t>
  </si>
  <si>
    <t>LU-CC26073195</t>
  </si>
  <si>
    <t>100895</t>
  </si>
  <si>
    <t>LU-CC260809123</t>
  </si>
  <si>
    <t>109923</t>
  </si>
  <si>
    <t>LU-CC260809129</t>
  </si>
  <si>
    <t>109929</t>
  </si>
  <si>
    <t>LU-CC260727128</t>
  </si>
  <si>
    <t>113528</t>
  </si>
  <si>
    <t>LU-CC26072894</t>
  </si>
  <si>
    <t>113694</t>
  </si>
  <si>
    <t>LU-CC260727135</t>
  </si>
  <si>
    <t>113535</t>
  </si>
  <si>
    <t>LU-CC26090300039</t>
  </si>
  <si>
    <t>DC14439</t>
  </si>
  <si>
    <t>LU-CC26090300040</t>
  </si>
  <si>
    <t>DC14440</t>
  </si>
  <si>
    <t>LU-CC26090300113</t>
  </si>
  <si>
    <t>DC14413</t>
  </si>
  <si>
    <t>LU-CC26090300043</t>
  </si>
  <si>
    <t>DC14443</t>
  </si>
  <si>
    <t>LU-CC26090300044</t>
  </si>
  <si>
    <t>DC02064</t>
  </si>
  <si>
    <t>LU-CC26090200031</t>
  </si>
  <si>
    <t>DC02081</t>
  </si>
  <si>
    <t>LU-CC26090600458</t>
  </si>
  <si>
    <t>DC15358</t>
  </si>
  <si>
    <t>LU-CC26090700724</t>
  </si>
  <si>
    <t>DC01424</t>
  </si>
  <si>
    <t>LU-CC26090300114</t>
  </si>
  <si>
    <t>DC14414</t>
  </si>
  <si>
    <t>LU-CC26090700748</t>
  </si>
  <si>
    <t>DC01448</t>
  </si>
  <si>
    <t>LU-CC26090300116</t>
  </si>
  <si>
    <t>DC14416</t>
  </si>
  <si>
    <t>LU-CC26090700716</t>
  </si>
  <si>
    <t>DC01416</t>
  </si>
  <si>
    <t>LU-CC26090700749</t>
  </si>
  <si>
    <t>DC01449</t>
  </si>
  <si>
    <t>LU-CC26090700737</t>
  </si>
  <si>
    <t>DC01437</t>
  </si>
  <si>
    <t>LU-CC26090600509</t>
  </si>
  <si>
    <t>DC15309</t>
  </si>
  <si>
    <t>LU-CC26090700728</t>
  </si>
  <si>
    <t>DC01428</t>
  </si>
  <si>
    <t>LU-CC26090700740</t>
  </si>
  <si>
    <t>DC01440</t>
  </si>
  <si>
    <t>LU-CC26090700736</t>
  </si>
  <si>
    <t>DC01436</t>
  </si>
  <si>
    <t>LU-CC26090300111</t>
  </si>
  <si>
    <t>DC14411</t>
  </si>
  <si>
    <t>LU-CC26090600489</t>
  </si>
  <si>
    <t>DC15389</t>
  </si>
  <si>
    <t>LU-CC26090700689</t>
  </si>
  <si>
    <t>DC14989</t>
  </si>
  <si>
    <t>LU-CC26090600500</t>
  </si>
  <si>
    <t>DC15400</t>
  </si>
  <si>
    <t>LU-CC26090700692</t>
  </si>
  <si>
    <t>DC14992</t>
  </si>
  <si>
    <t>LU-CC26090300118</t>
  </si>
  <si>
    <t>DC14418</t>
  </si>
  <si>
    <t>LU-CC26090700725</t>
  </si>
  <si>
    <t>DC01425</t>
  </si>
  <si>
    <t>LU-CC26090700699</t>
  </si>
  <si>
    <t>DC14999</t>
  </si>
  <si>
    <t>LU-CC26090300115</t>
  </si>
  <si>
    <t>DC14415</t>
  </si>
  <si>
    <t>LU-CC26090500223</t>
  </si>
  <si>
    <t>DC01923</t>
  </si>
  <si>
    <t>LU-CC26090700946</t>
  </si>
  <si>
    <t>DC14646</t>
  </si>
  <si>
    <t>LU-CC26090700713</t>
  </si>
  <si>
    <t>DC01413</t>
  </si>
  <si>
    <t>LU-CC26090700717</t>
  </si>
  <si>
    <t>DC01417</t>
  </si>
  <si>
    <t>LU-CC26090700753</t>
  </si>
  <si>
    <t>DC01453</t>
  </si>
  <si>
    <t>LU-CC26090600469</t>
  </si>
  <si>
    <t>DC15369</t>
  </si>
  <si>
    <t>LU-CC26090600508</t>
  </si>
  <si>
    <t>DC15308</t>
  </si>
  <si>
    <t>LU-CC26090700729</t>
  </si>
  <si>
    <t>DC01429</t>
  </si>
  <si>
    <t>LU-CC26090700742</t>
  </si>
  <si>
    <t>DC01442</t>
  </si>
  <si>
    <t>LU-CC26090700704</t>
  </si>
  <si>
    <t>DC01404</t>
  </si>
  <si>
    <t>LU-CC26090700714</t>
  </si>
  <si>
    <t>DC01414</t>
  </si>
  <si>
    <t>LU-CC26090700701</t>
  </si>
  <si>
    <t>DC01401</t>
  </si>
  <si>
    <t>LU-CC26090300117</t>
  </si>
  <si>
    <t>DC14417</t>
  </si>
  <si>
    <t>LU-CC26090700712</t>
  </si>
  <si>
    <t>DC01412</t>
  </si>
  <si>
    <t>LU-CC26090700741</t>
  </si>
  <si>
    <t>DC01441</t>
  </si>
  <si>
    <t>LU-CC26090700730</t>
  </si>
  <si>
    <t>DC01430</t>
  </si>
  <si>
    <t>LU-CC26090700726</t>
  </si>
  <si>
    <t>DC01426</t>
  </si>
  <si>
    <t>LU-CC26090700702</t>
  </si>
  <si>
    <t>DC01402</t>
  </si>
  <si>
    <t>LU-CC26090200024</t>
  </si>
  <si>
    <t>DC02074</t>
  </si>
  <si>
    <t>LU-CC26090700703</t>
  </si>
  <si>
    <t>DC01403</t>
  </si>
  <si>
    <t>LU-CC26090700727</t>
  </si>
  <si>
    <t>DC01427</t>
  </si>
  <si>
    <t>LU-CC26090600488</t>
  </si>
  <si>
    <t>DC15388</t>
  </si>
  <si>
    <t>LU-CC26090700715</t>
  </si>
  <si>
    <t>DC01415</t>
  </si>
  <si>
    <t>LU-CC26090500302</t>
  </si>
  <si>
    <t>DC15002</t>
  </si>
  <si>
    <t>LU-CC26090700738</t>
  </si>
  <si>
    <t>DC01438</t>
  </si>
  <si>
    <t>LU-CC26090600479</t>
  </si>
  <si>
    <t>DC15379</t>
  </si>
  <si>
    <t>LU-CC26090700755</t>
  </si>
  <si>
    <t>DC01455</t>
  </si>
  <si>
    <t>LU-CC26090700739</t>
  </si>
  <si>
    <t>DC01439</t>
  </si>
  <si>
    <t>LU-CC26090600497</t>
  </si>
  <si>
    <t>DC15397</t>
  </si>
  <si>
    <t>LU-CC26090700750</t>
  </si>
  <si>
    <t>DC01450</t>
  </si>
  <si>
    <t>LU-CC26090700732</t>
  </si>
  <si>
    <t>DC01432</t>
  </si>
  <si>
    <t>LU-CC26090700744</t>
  </si>
  <si>
    <t>DC01444</t>
  </si>
  <si>
    <t>LU-CC26090700720</t>
  </si>
  <si>
    <t>DC01420</t>
  </si>
  <si>
    <t>LU-CC26090700708</t>
  </si>
  <si>
    <t>DC01408</t>
  </si>
  <si>
    <t>LU-CC26090700733</t>
  </si>
  <si>
    <t>DC01433</t>
  </si>
  <si>
    <t>LU-CC26090700734</t>
  </si>
  <si>
    <t>DC01434</t>
  </si>
  <si>
    <t>LU-CC26090700735</t>
  </si>
  <si>
    <t>DC01435</t>
  </si>
  <si>
    <t>LU-CC26090700723</t>
  </si>
  <si>
    <t>DC01423</t>
  </si>
  <si>
    <t>LU-CC26090600506</t>
  </si>
  <si>
    <t>DC15306</t>
  </si>
  <si>
    <t>LU-CC26090600457</t>
  </si>
  <si>
    <t>DC15357</t>
  </si>
  <si>
    <t>LU-CC26090500392</t>
  </si>
  <si>
    <t>DC01792</t>
  </si>
  <si>
    <t>LU-CC26090500374</t>
  </si>
  <si>
    <t>DC01774</t>
  </si>
  <si>
    <t>LU-CC26090500403</t>
  </si>
  <si>
    <t>DC01703</t>
  </si>
  <si>
    <t>LU-CC26090500266</t>
  </si>
  <si>
    <t>DC15066</t>
  </si>
  <si>
    <t>LU-CC26090500277</t>
  </si>
  <si>
    <t>DC15077</t>
  </si>
  <si>
    <t>LU-CC26090500232</t>
  </si>
  <si>
    <t>DC01932</t>
  </si>
  <si>
    <t>LU-CC26090500255</t>
  </si>
  <si>
    <t>DC15055</t>
  </si>
  <si>
    <t>LU-CC26090500233</t>
  </si>
  <si>
    <t>DC01933</t>
  </si>
  <si>
    <t>LU-CC26090500322</t>
  </si>
  <si>
    <t>DC15022</t>
  </si>
  <si>
    <t>LU-CC26090500299</t>
  </si>
  <si>
    <t>DC15099</t>
  </si>
  <si>
    <t>LU-CC26090400198</t>
  </si>
  <si>
    <t>DC01998</t>
  </si>
  <si>
    <t>LU-CC26090500268</t>
  </si>
  <si>
    <t>DC15068</t>
  </si>
  <si>
    <t>LU-CC26090500244</t>
  </si>
  <si>
    <t>DC15044</t>
  </si>
  <si>
    <t>LU-CC26090500222</t>
  </si>
  <si>
    <t>DC01922</t>
  </si>
  <si>
    <t>LU-CC26090500234</t>
  </si>
  <si>
    <t>DC01934</t>
  </si>
  <si>
    <t>LU-CC26090500289</t>
  </si>
  <si>
    <t>DC15089</t>
  </si>
  <si>
    <t>LU-CC26090500245</t>
  </si>
  <si>
    <t>DC15045</t>
  </si>
  <si>
    <t>LU-CC26090500252</t>
  </si>
  <si>
    <t>DC15052</t>
  </si>
  <si>
    <t>LU-CC26090400173</t>
  </si>
  <si>
    <t>DC01973</t>
  </si>
  <si>
    <t>LU-CC26090400185</t>
  </si>
  <si>
    <t>DC01985</t>
  </si>
  <si>
    <t>LU-CC26090500251</t>
  </si>
  <si>
    <t>DC15051</t>
  </si>
  <si>
    <t>LU-CC26090400204</t>
  </si>
  <si>
    <t>DC01904</t>
  </si>
  <si>
    <t>LU-CC26090500250</t>
  </si>
  <si>
    <t>DC15050</t>
  </si>
  <si>
    <t>LU-CC26090600475</t>
  </si>
  <si>
    <t>DC15375</t>
  </si>
  <si>
    <t>LU-CC26090600436</t>
  </si>
  <si>
    <t>DC01736</t>
  </si>
  <si>
    <t>LU-CC26090600496</t>
  </si>
  <si>
    <t>DC15396</t>
  </si>
  <si>
    <t>LU-CC26090600484</t>
  </si>
  <si>
    <t>DC15384</t>
  </si>
  <si>
    <t>LU-CC26090600474</t>
  </si>
  <si>
    <t>DC15374</t>
  </si>
  <si>
    <t>LU-CC26090600441</t>
  </si>
  <si>
    <t>DC15341</t>
  </si>
  <si>
    <t>LU-CC26090500413</t>
  </si>
  <si>
    <t>DC01713</t>
  </si>
  <si>
    <t>LU-CC26090600439</t>
  </si>
  <si>
    <t>DC15339</t>
  </si>
  <si>
    <t>LU-CC26090600442</t>
  </si>
  <si>
    <t>DC15342</t>
  </si>
  <si>
    <t>LU-CC26090600461</t>
  </si>
  <si>
    <t>DC15361</t>
  </si>
  <si>
    <t>LU-CC26090600446</t>
  </si>
  <si>
    <t>DC15346</t>
  </si>
  <si>
    <t>LU-CC26090600438</t>
  </si>
  <si>
    <t>DC01738</t>
  </si>
  <si>
    <t>LU-CC26090500414</t>
  </si>
  <si>
    <t>DC01714</t>
  </si>
  <si>
    <t>LU-CC26090600443</t>
  </si>
  <si>
    <t>DC15343</t>
  </si>
  <si>
    <t>LU-CC26090500405</t>
  </si>
  <si>
    <t>DC01705</t>
  </si>
  <si>
    <t>LU-CC26090600437</t>
  </si>
  <si>
    <t>DC01737</t>
  </si>
  <si>
    <t>LU-CC26090500386</t>
  </si>
  <si>
    <t>DC01786</t>
  </si>
  <si>
    <t>LU-CC26090500352</t>
  </si>
  <si>
    <t>DC01752</t>
  </si>
  <si>
    <t>LU-CC26090500361</t>
  </si>
  <si>
    <t>DC01761</t>
  </si>
  <si>
    <t>LU-CC26090500416</t>
  </si>
  <si>
    <t>DC01716</t>
  </si>
  <si>
    <t>LU-CC26090500407</t>
  </si>
  <si>
    <t>DC01707</t>
  </si>
  <si>
    <t>LU-CC26090500387</t>
  </si>
  <si>
    <t>DC01787</t>
  </si>
  <si>
    <t>LU-CC26090500367</t>
  </si>
  <si>
    <t>DC01767</t>
  </si>
  <si>
    <t>LU-CC26090500366</t>
  </si>
  <si>
    <t>DC01766</t>
  </si>
  <si>
    <t>LU-CC26090500419</t>
  </si>
  <si>
    <t>DC01719</t>
  </si>
  <si>
    <t>LU-CC26090500373</t>
  </si>
  <si>
    <t>DC01773</t>
  </si>
  <si>
    <t>LU-CC26090600486</t>
  </si>
  <si>
    <t>DC15386</t>
  </si>
  <si>
    <t>LU-CC26090600481</t>
  </si>
  <si>
    <t>DC15381</t>
  </si>
  <si>
    <t>LU-CC26090200019</t>
  </si>
  <si>
    <t>DC02029</t>
  </si>
  <si>
    <t>LU-CC26090200025</t>
  </si>
  <si>
    <t>DC02075</t>
  </si>
  <si>
    <t>LU-CC26090200016</t>
  </si>
  <si>
    <t>DC02036</t>
  </si>
  <si>
    <t>LU-CC26090200018</t>
  </si>
  <si>
    <t>DC02028</t>
  </si>
  <si>
    <t>LU-CC26090200005</t>
  </si>
  <si>
    <t>DC02041</t>
  </si>
  <si>
    <t>LU-CC26090700691</t>
  </si>
  <si>
    <t>DC02100</t>
  </si>
  <si>
    <t>LU-CC26090600482</t>
  </si>
  <si>
    <t>DC15382</t>
  </si>
  <si>
    <t>LU-CC26090600503</t>
  </si>
  <si>
    <t>DC15303</t>
  </si>
  <si>
    <t>LU-CC26090700693</t>
  </si>
  <si>
    <t>DC14993</t>
  </si>
  <si>
    <t>LU-CC26090600472</t>
  </si>
  <si>
    <t>DC15372</t>
  </si>
  <si>
    <t>LU-CC26090700705</t>
  </si>
  <si>
    <t>DC01405</t>
  </si>
  <si>
    <t>LU-CC26090200014</t>
  </si>
  <si>
    <t>DC02045</t>
  </si>
  <si>
    <t>LU-CC26090600495</t>
  </si>
  <si>
    <t>DC15395</t>
  </si>
  <si>
    <t>LU-CC26090600504</t>
  </si>
  <si>
    <t>DC15304</t>
  </si>
  <si>
    <t>LU-CC26090600483</t>
  </si>
  <si>
    <t>DC15383</t>
  </si>
  <si>
    <t>LU-CC26090600473</t>
  </si>
  <si>
    <t>DC15373</t>
  </si>
  <si>
    <t>LU-CC26090700743</t>
  </si>
  <si>
    <t>DC01443</t>
  </si>
  <si>
    <t>LU-CC26090700719</t>
  </si>
  <si>
    <t>DC01419</t>
  </si>
  <si>
    <t>LU-CC26090700706</t>
  </si>
  <si>
    <t>DC01406</t>
  </si>
  <si>
    <t>LU-CC26090600505</t>
  </si>
  <si>
    <t>DC15305</t>
  </si>
  <si>
    <t>LU-CC26090600463</t>
  </si>
  <si>
    <t>DC15363</t>
  </si>
  <si>
    <t>LU-CC26090600448</t>
  </si>
  <si>
    <t>DC15348</t>
  </si>
  <si>
    <t>LU-CC26090600450</t>
  </si>
  <si>
    <t>DC15350</t>
  </si>
  <si>
    <t>LU-CC26090700938</t>
  </si>
  <si>
    <t>DC14638</t>
  </si>
  <si>
    <t>LU-CC26090700944</t>
  </si>
  <si>
    <t>DC14644</t>
  </si>
  <si>
    <t>LU-CC26090700939</t>
  </si>
  <si>
    <t>DC14639</t>
  </si>
  <si>
    <t>LU-CC26090200032</t>
  </si>
  <si>
    <t>DC02042</t>
  </si>
  <si>
    <t>LU-CC26090700937</t>
  </si>
  <si>
    <t>DC14637</t>
  </si>
  <si>
    <t>LU-CC26090700941</t>
  </si>
  <si>
    <t>DC14641</t>
  </si>
  <si>
    <t>LU-CC26090700945</t>
  </si>
  <si>
    <t>DC14645</t>
  </si>
  <si>
    <t>LU-CC26090200036</t>
  </si>
  <si>
    <t>DC02066</t>
  </si>
  <si>
    <t>LU-CC26090600492</t>
  </si>
  <si>
    <t>DC15392</t>
  </si>
  <si>
    <t>LU-CC26090600480</t>
  </si>
  <si>
    <t>DC15380</t>
  </si>
  <si>
    <t>LU-CC26090600470</t>
  </si>
  <si>
    <t>DC15370</t>
  </si>
  <si>
    <t>LU-CC26090200035</t>
  </si>
  <si>
    <t>DC02085</t>
  </si>
  <si>
    <t>LU-CC26090600460</t>
  </si>
  <si>
    <t>DC15360</t>
  </si>
  <si>
    <t>LU-CC26090200033</t>
  </si>
  <si>
    <t>DC02043</t>
  </si>
  <si>
    <t>LU-CC26090600445</t>
  </si>
  <si>
    <t>DC15345</t>
  </si>
  <si>
    <t>LU-CC26090700690</t>
  </si>
  <si>
    <t>DC14990</t>
  </si>
  <si>
    <t>LU-CC26090200006</t>
  </si>
  <si>
    <t>DC02046</t>
  </si>
  <si>
    <t>LU-CC26090600502</t>
  </si>
  <si>
    <t>DC15302</t>
  </si>
  <si>
    <t>LU-CC26090200023</t>
  </si>
  <si>
    <t>DC02073</t>
  </si>
  <si>
    <t>LU-CC26090600471</t>
  </si>
  <si>
    <t>DC15371</t>
  </si>
  <si>
    <t>LU-CC26090600493</t>
  </si>
  <si>
    <t>DC15393</t>
  </si>
  <si>
    <t>LU-CC26090300098</t>
  </si>
  <si>
    <t>DC14498</t>
  </si>
  <si>
    <t>LU-CC26090300093</t>
  </si>
  <si>
    <t>DC14493</t>
  </si>
  <si>
    <t>LU-CC26090500342</t>
  </si>
  <si>
    <t>DC01742</t>
  </si>
  <si>
    <t>LU-CC26090200009</t>
  </si>
  <si>
    <t>DC02049</t>
  </si>
  <si>
    <t>LU-CC26090200030</t>
  </si>
  <si>
    <t>DC02080</t>
  </si>
  <si>
    <t>LU-CC26090200015</t>
  </si>
  <si>
    <t>DC02025</t>
  </si>
  <si>
    <t>LU-CC26090500404</t>
  </si>
  <si>
    <t>DC01704</t>
  </si>
  <si>
    <t>LU-CC26090500394</t>
  </si>
  <si>
    <t>DC01794</t>
  </si>
  <si>
    <t>LU-CC26090500384</t>
  </si>
  <si>
    <t>DC01784</t>
  </si>
  <si>
    <t>LU-CC26090500349</t>
  </si>
  <si>
    <t>DC01749</t>
  </si>
  <si>
    <t>LU-CC26090500345</t>
  </si>
  <si>
    <t>DC01745</t>
  </si>
  <si>
    <t>LU-CC26090500340</t>
  </si>
  <si>
    <t>DC01740</t>
  </si>
  <si>
    <t>LU-CC26090500346</t>
  </si>
  <si>
    <t>DC01746</t>
  </si>
  <si>
    <t>LU-CC26090600462</t>
  </si>
  <si>
    <t>DC15362</t>
  </si>
  <si>
    <t>LU-CC26090500357</t>
  </si>
  <si>
    <t>DC02040</t>
  </si>
  <si>
    <t>LU-CC26090500351</t>
  </si>
  <si>
    <t>DC01751</t>
  </si>
  <si>
    <t>LU-CC26090500347</t>
  </si>
  <si>
    <t>DC01747</t>
  </si>
  <si>
    <t>LU-CC26090500364</t>
  </si>
  <si>
    <t>DC02184</t>
  </si>
  <si>
    <t>LU-CC26090500395</t>
  </si>
  <si>
    <t>DC01795</t>
  </si>
  <si>
    <t>LU-CC26090500406</t>
  </si>
  <si>
    <t>DC01706</t>
  </si>
  <si>
    <t>LU-CC26090500415</t>
  </si>
  <si>
    <t>DC01715</t>
  </si>
  <si>
    <t>LU-CC26090500363</t>
  </si>
  <si>
    <t>DC01763</t>
  </si>
  <si>
    <t>LU-CC26090500385</t>
  </si>
  <si>
    <t>DC01785</t>
  </si>
  <si>
    <t>LU-CC26090500359</t>
  </si>
  <si>
    <t>DC01759</t>
  </si>
  <si>
    <t>LU-CC26090500353</t>
  </si>
  <si>
    <t>DC01753</t>
  </si>
  <si>
    <t>LU-CC26090500397</t>
  </si>
  <si>
    <t>DC01797</t>
  </si>
  <si>
    <t>LU-CC26090500369</t>
  </si>
  <si>
    <t>DC01769</t>
  </si>
  <si>
    <t>LU-CC26090200022</t>
  </si>
  <si>
    <t>DC02072</t>
  </si>
  <si>
    <t>LU-CC26090700718</t>
  </si>
  <si>
    <t>DC01418</t>
  </si>
  <si>
    <t>LU-CC26090200026</t>
  </si>
  <si>
    <t>DC02076</t>
  </si>
  <si>
    <t>LU-CC26090200004</t>
  </si>
  <si>
    <t>DC02032</t>
  </si>
  <si>
    <t>LU-CC26090200013</t>
  </si>
  <si>
    <t>DC02054</t>
  </si>
  <si>
    <t>LU-CC26090200027</t>
  </si>
  <si>
    <t>DC02077</t>
  </si>
  <si>
    <t>LU-CC26090200008</t>
  </si>
  <si>
    <t>DC02048</t>
  </si>
  <si>
    <t>LU-CC26090200021</t>
  </si>
  <si>
    <t>DC02071</t>
  </si>
  <si>
    <t>LU-CC26090200003</t>
  </si>
  <si>
    <t>DC02065</t>
  </si>
  <si>
    <t>LU-CC26090200012</t>
  </si>
  <si>
    <t>DC02052</t>
  </si>
  <si>
    <t>LU-CC26090700756</t>
  </si>
  <si>
    <t>DC01456</t>
  </si>
  <si>
    <t>LU-CC26090200028</t>
  </si>
  <si>
    <t>DC02078</t>
  </si>
  <si>
    <t>LU-CC26090700731</t>
  </si>
  <si>
    <t>DC01431</t>
  </si>
  <si>
    <t>LU-CC26090200029</t>
  </si>
  <si>
    <t>DC02079</t>
  </si>
  <si>
    <t>LU-CC26090200002</t>
  </si>
  <si>
    <t>DC02034</t>
  </si>
  <si>
    <t>LU-CC26090200020</t>
  </si>
  <si>
    <t>DC02070</t>
  </si>
  <si>
    <t>LU-CC26090200017</t>
  </si>
  <si>
    <t>DC02027</t>
  </si>
  <si>
    <t>LU-CC26090200038</t>
  </si>
  <si>
    <t>DC02088</t>
  </si>
  <si>
    <t>LU-CC26090200001</t>
  </si>
  <si>
    <t>DC02094</t>
  </si>
  <si>
    <t>LU-CC26090600444</t>
  </si>
  <si>
    <t>DC15344</t>
  </si>
  <si>
    <t>LU-CC26090500396</t>
  </si>
  <si>
    <t>DC01796</t>
  </si>
  <si>
    <t>FACTURE COMMERCIALE</t>
  </si>
  <si>
    <t>À:</t>
  </si>
  <si>
    <t>SINGAPORE EXCELLEN PTE.LTD</t>
  </si>
  <si>
    <t>65 Chulia St, #36-01 OCBC Centre, Singapore</t>
  </si>
  <si>
    <t>SINGAPORE</t>
  </si>
  <si>
    <t>DATE DE FACTURE :</t>
  </si>
  <si>
    <t>N° de facture</t>
  </si>
  <si>
    <t>CONTRAT DU VENDEUR NO : 2025/LUILU-SEM-2025-01</t>
  </si>
  <si>
    <t>DESCRIPTION DES MARCHANDISES : CONCENTRÉ DE CUIVRE À 21 % DE TENEUR EN Cu</t>
  </si>
  <si>
    <t xml:space="preserve">CONDITIONS DE LIVRAISON : </t>
  </si>
  <si>
    <t>FCA LUILU PLANT</t>
  </si>
  <si>
    <t>CHEVAL N° D'ENREGISTREMENT :</t>
  </si>
  <si>
    <t>CHARIOT-REMORQUE 12:</t>
  </si>
  <si>
    <t>CONTAINER NO :</t>
  </si>
  <si>
    <t>NOMBRE DE LIASSES :</t>
  </si>
  <si>
    <t>BAGS</t>
  </si>
  <si>
    <t>GROSS WEIGHT:</t>
  </si>
  <si>
    <t>MT</t>
  </si>
  <si>
    <t>NET WEIGHT:</t>
  </si>
  <si>
    <t>UNIT VALUE:</t>
  </si>
  <si>
    <t>US$</t>
  </si>
  <si>
    <t>INLAND FREIGHT</t>
  </si>
  <si>
    <t>TOTAL VALUE:</t>
  </si>
  <si>
    <t>LUILU RESSOURCES SAS</t>
  </si>
  <si>
    <t>SINGAPORE EXCELLEN PTE.LTD/SINGAPORE</t>
  </si>
  <si>
    <r>
      <rPr>
        <b/>
        <sz val="16"/>
        <color theme="1"/>
        <rFont val="等线 Light"/>
        <charset val="134"/>
      </rPr>
      <t xml:space="preserve"> </t>
    </r>
    <r>
      <rPr>
        <b/>
        <sz val="16"/>
        <color theme="1"/>
        <rFont val="宋体"/>
        <charset val="134"/>
      </rPr>
      <t xml:space="preserve">   </t>
    </r>
  </si>
  <si>
    <t xml:space="preserve">   </t>
  </si>
  <si>
    <r>
      <rPr>
        <b/>
        <sz val="16"/>
        <color theme="1"/>
        <rFont val="宋体"/>
        <charset val="134"/>
      </rPr>
      <t>物资出门放行证</t>
    </r>
  </si>
  <si>
    <t>BON DE SORTIE</t>
  </si>
  <si>
    <r>
      <rPr>
        <sz val="10"/>
        <color theme="1"/>
        <rFont val="Times New Roman"/>
        <charset val="134"/>
      </rPr>
      <t xml:space="preserve">                                                                                  </t>
    </r>
    <r>
      <rPr>
        <sz val="12"/>
        <color theme="1"/>
        <rFont val="Times New Roman"/>
        <charset val="134"/>
      </rPr>
      <t xml:space="preserve">LUILU                   </t>
    </r>
    <r>
      <rPr>
        <sz val="12"/>
        <color theme="1"/>
        <rFont val="宋体"/>
        <charset val="134"/>
      </rPr>
      <t>日期</t>
    </r>
  </si>
  <si>
    <r>
      <rPr>
        <sz val="10"/>
        <color theme="1"/>
        <rFont val="Times New Roman"/>
        <charset val="134"/>
      </rPr>
      <t>DATE</t>
    </r>
    <r>
      <rPr>
        <sz val="10"/>
        <color theme="1"/>
        <rFont val="宋体"/>
        <charset val="134"/>
      </rPr>
      <t>：</t>
    </r>
    <r>
      <rPr>
        <sz val="10"/>
        <color theme="1"/>
        <rFont val="Times New Roman"/>
        <charset val="134"/>
      </rPr>
      <t xml:space="preserve">2026 </t>
    </r>
    <r>
      <rPr>
        <sz val="10"/>
        <color theme="1"/>
        <rFont val="宋体"/>
        <charset val="134"/>
      </rPr>
      <t>年（</t>
    </r>
    <r>
      <rPr>
        <sz val="10"/>
        <color theme="1"/>
        <rFont val="Times New Roman"/>
        <charset val="134"/>
      </rPr>
      <t>A</t>
    </r>
    <r>
      <rPr>
        <sz val="10"/>
        <color theme="1"/>
        <rFont val="宋体"/>
        <charset val="134"/>
      </rPr>
      <t>）</t>
    </r>
    <r>
      <rPr>
        <sz val="10"/>
        <color theme="1"/>
        <rFont val="Times New Roman"/>
        <charset val="134"/>
      </rPr>
      <t xml:space="preserve">    </t>
    </r>
    <r>
      <rPr>
        <sz val="10"/>
        <color theme="1"/>
        <rFont val="宋体"/>
        <charset val="134"/>
      </rPr>
      <t>月（</t>
    </r>
    <r>
      <rPr>
        <sz val="10"/>
        <color theme="1"/>
        <rFont val="Times New Roman"/>
        <charset val="134"/>
      </rPr>
      <t>M</t>
    </r>
    <r>
      <rPr>
        <sz val="10"/>
        <color theme="1"/>
        <rFont val="宋体"/>
        <charset val="134"/>
      </rPr>
      <t>）</t>
    </r>
    <r>
      <rPr>
        <sz val="10"/>
        <color theme="1"/>
        <rFont val="Times New Roman"/>
        <charset val="134"/>
      </rPr>
      <t xml:space="preserve">    </t>
    </r>
    <r>
      <rPr>
        <sz val="10"/>
        <color theme="1"/>
        <rFont val="宋体"/>
        <charset val="134"/>
      </rPr>
      <t>日（</t>
    </r>
    <r>
      <rPr>
        <sz val="10"/>
        <color theme="1"/>
        <rFont val="Times New Roman"/>
        <charset val="134"/>
      </rPr>
      <t>J</t>
    </r>
    <r>
      <rPr>
        <sz val="10"/>
        <color theme="1"/>
        <rFont val="宋体"/>
        <charset val="134"/>
      </rPr>
      <t>）</t>
    </r>
  </si>
  <si>
    <r>
      <rPr>
        <sz val="10"/>
        <color theme="1"/>
        <rFont val="宋体"/>
        <charset val="134"/>
      </rPr>
      <t>序号</t>
    </r>
    <r>
      <rPr>
        <sz val="10"/>
        <color theme="1"/>
        <rFont val="Times New Roman"/>
        <charset val="134"/>
      </rPr>
      <t>N°</t>
    </r>
  </si>
  <si>
    <r>
      <rPr>
        <sz val="10"/>
        <color theme="1"/>
        <rFont val="宋体"/>
        <charset val="134"/>
      </rPr>
      <t>品名</t>
    </r>
    <r>
      <rPr>
        <sz val="10"/>
        <color theme="1"/>
        <rFont val="Times New Roman"/>
        <charset val="134"/>
      </rPr>
      <t xml:space="preserve">
ARTICLE</t>
    </r>
  </si>
  <si>
    <r>
      <rPr>
        <sz val="10"/>
        <color theme="1"/>
        <rFont val="宋体"/>
        <charset val="134"/>
      </rPr>
      <t>出门单位</t>
    </r>
    <r>
      <rPr>
        <sz val="10"/>
        <color theme="1"/>
        <rFont val="Times New Roman"/>
        <charset val="134"/>
      </rPr>
      <t xml:space="preserve">
UNITE 1</t>
    </r>
  </si>
  <si>
    <r>
      <rPr>
        <sz val="10"/>
        <color theme="1"/>
        <rFont val="宋体"/>
        <charset val="134"/>
      </rPr>
      <t>实出数量</t>
    </r>
    <r>
      <rPr>
        <sz val="10"/>
        <color theme="1"/>
        <rFont val="Times New Roman"/>
        <charset val="134"/>
      </rPr>
      <t xml:space="preserve">
QUANTITE
SORTIE 1</t>
    </r>
  </si>
  <si>
    <r>
      <rPr>
        <sz val="10"/>
        <color theme="1"/>
        <rFont val="宋体"/>
        <charset val="134"/>
      </rPr>
      <t>出门单位</t>
    </r>
    <r>
      <rPr>
        <sz val="10"/>
        <color theme="1"/>
        <rFont val="Times New Roman"/>
        <charset val="134"/>
      </rPr>
      <t>UNITE 2</t>
    </r>
  </si>
  <si>
    <r>
      <rPr>
        <sz val="10"/>
        <color theme="1"/>
        <rFont val="宋体"/>
        <charset val="134"/>
      </rPr>
      <t xml:space="preserve">实出数量
</t>
    </r>
    <r>
      <rPr>
        <sz val="10"/>
        <color theme="1"/>
        <rFont val="Times New Roman"/>
        <charset val="134"/>
      </rPr>
      <t>QUANTITE
SORTIE 2</t>
    </r>
  </si>
  <si>
    <r>
      <rPr>
        <sz val="10"/>
        <color theme="1"/>
        <rFont val="宋体"/>
        <charset val="134"/>
      </rPr>
      <t>备注</t>
    </r>
    <r>
      <rPr>
        <sz val="10"/>
        <color theme="1"/>
        <rFont val="Times New Roman"/>
        <charset val="134"/>
      </rPr>
      <t>OBSERVATION</t>
    </r>
  </si>
  <si>
    <r>
      <rPr>
        <sz val="10"/>
        <color theme="1"/>
        <rFont val="Times New Roman"/>
        <charset val="134"/>
      </rPr>
      <t xml:space="preserve">CoppeConcentrate
</t>
    </r>
    <r>
      <rPr>
        <sz val="10"/>
        <color theme="1"/>
        <rFont val="宋体"/>
        <charset val="134"/>
      </rPr>
      <t>铜精矿</t>
    </r>
  </si>
  <si>
    <t>PKG</t>
  </si>
  <si>
    <t>T</t>
  </si>
  <si>
    <r>
      <rPr>
        <sz val="11"/>
        <color theme="1"/>
        <rFont val="Times New Roman"/>
        <charset val="134"/>
      </rPr>
      <t>□</t>
    </r>
    <r>
      <rPr>
        <sz val="11"/>
        <color theme="1"/>
        <rFont val="宋体"/>
        <charset val="134"/>
      </rPr>
      <t>委外加工</t>
    </r>
    <r>
      <rPr>
        <sz val="11"/>
        <color theme="1"/>
        <rFont val="Times New Roman"/>
        <charset val="134"/>
      </rPr>
      <t>A soustraiter
□</t>
    </r>
    <r>
      <rPr>
        <sz val="11"/>
        <color theme="1"/>
        <rFont val="宋体"/>
        <charset val="134"/>
      </rPr>
      <t>设备加工</t>
    </r>
    <r>
      <rPr>
        <sz val="11"/>
        <color theme="1"/>
        <rFont val="Times New Roman"/>
        <charset val="134"/>
      </rPr>
      <t>A traiter
□</t>
    </r>
    <r>
      <rPr>
        <sz val="11"/>
        <color theme="1"/>
        <rFont val="宋体"/>
        <charset val="134"/>
      </rPr>
      <t>来料维修</t>
    </r>
    <r>
      <rPr>
        <sz val="11"/>
        <color theme="1"/>
        <rFont val="Times New Roman"/>
        <charset val="134"/>
      </rPr>
      <t>A réparer
□</t>
    </r>
    <r>
      <rPr>
        <sz val="11"/>
        <color theme="1"/>
        <rFont val="宋体"/>
        <charset val="134"/>
      </rPr>
      <t>调拨移库</t>
    </r>
    <r>
      <rPr>
        <sz val="11"/>
        <color theme="1"/>
        <rFont val="Times New Roman"/>
        <charset val="134"/>
      </rPr>
      <t>Transmise entre dépôt
□</t>
    </r>
    <r>
      <rPr>
        <sz val="11"/>
        <color theme="1"/>
        <rFont val="宋体"/>
        <charset val="134"/>
      </rPr>
      <t>废品出售</t>
    </r>
    <r>
      <rPr>
        <sz val="11"/>
        <color theme="1"/>
        <rFont val="Times New Roman"/>
        <charset val="134"/>
      </rPr>
      <t>Vente de déchet
□</t>
    </r>
    <r>
      <rPr>
        <sz val="11"/>
        <color theme="1"/>
        <rFont val="宋体"/>
        <charset val="134"/>
      </rPr>
      <t>物资退货</t>
    </r>
    <r>
      <rPr>
        <sz val="11"/>
        <color theme="1"/>
        <rFont val="Times New Roman"/>
        <charset val="134"/>
      </rPr>
      <t>Retour de vente
□</t>
    </r>
    <r>
      <rPr>
        <sz val="11"/>
        <color theme="1"/>
        <rFont val="宋体"/>
        <charset val="134"/>
      </rPr>
      <t>物资销售</t>
    </r>
    <r>
      <rPr>
        <sz val="11"/>
        <color theme="1"/>
        <rFont val="Times New Roman"/>
        <charset val="134"/>
      </rPr>
      <t>Vente
□</t>
    </r>
    <r>
      <rPr>
        <sz val="11"/>
        <color theme="1"/>
        <rFont val="宋体"/>
        <charset val="134"/>
      </rPr>
      <t>物资领用</t>
    </r>
    <r>
      <rPr>
        <sz val="11"/>
        <color theme="1"/>
        <rFont val="Times New Roman"/>
        <charset val="134"/>
      </rPr>
      <t>La prise de matériaux
■</t>
    </r>
    <r>
      <rPr>
        <sz val="11"/>
        <color theme="1"/>
        <rFont val="宋体"/>
        <charset val="134"/>
      </rPr>
      <t>产品发运</t>
    </r>
    <r>
      <rPr>
        <sz val="11"/>
        <color theme="1"/>
        <rFont val="Times New Roman"/>
        <charset val="134"/>
      </rPr>
      <t>L’expédition de marchandise
□</t>
    </r>
    <r>
      <rPr>
        <sz val="11"/>
        <color theme="1"/>
        <rFont val="宋体"/>
        <charset val="134"/>
      </rPr>
      <t>其他事项</t>
    </r>
    <r>
      <rPr>
        <sz val="11"/>
        <color theme="1"/>
        <rFont val="Times New Roman"/>
        <charset val="134"/>
      </rPr>
      <t xml:space="preserve"> autres
</t>
    </r>
    <r>
      <rPr>
        <sz val="11"/>
        <color theme="1"/>
        <rFont val="宋体"/>
        <charset val="134"/>
      </rPr>
      <t>说明</t>
    </r>
    <r>
      <rPr>
        <sz val="11"/>
        <color theme="1"/>
        <rFont val="Times New Roman"/>
        <charset val="134"/>
      </rPr>
      <t>observation</t>
    </r>
    <r>
      <rPr>
        <sz val="11"/>
        <color theme="1"/>
        <rFont val="宋体"/>
        <charset val="134"/>
      </rPr>
      <t>：</t>
    </r>
  </si>
  <si>
    <r>
      <rPr>
        <sz val="10"/>
        <color theme="1"/>
        <rFont val="宋体"/>
        <charset val="134"/>
      </rPr>
      <t>铜停车场安保签字确认捆数</t>
    </r>
    <r>
      <rPr>
        <sz val="10"/>
        <color theme="1"/>
        <rFont val="Times New Roman"/>
        <charset val="134"/>
      </rPr>
      <t xml:space="preserve">
Parking Security: Bundles amount confirmed</t>
    </r>
  </si>
  <si>
    <r>
      <rPr>
        <sz val="10"/>
        <color theme="1"/>
        <rFont val="宋体"/>
        <charset val="134"/>
      </rPr>
      <t>资源部签字确认捆数</t>
    </r>
    <r>
      <rPr>
        <sz val="10"/>
        <color theme="1"/>
        <rFont val="Times New Roman"/>
        <charset val="134"/>
      </rPr>
      <t xml:space="preserve">
Resource Department: Bundles amount confirmed</t>
    </r>
  </si>
  <si>
    <r>
      <rPr>
        <sz val="10"/>
        <color theme="1"/>
        <rFont val="宋体"/>
        <charset val="134"/>
      </rPr>
      <t>押车安保或司机签字确认捆数</t>
    </r>
    <r>
      <rPr>
        <sz val="10"/>
        <color theme="1"/>
        <rFont val="Times New Roman"/>
        <charset val="134"/>
      </rPr>
      <t xml:space="preserve">
Escort Team/Driver: Bundles amount confirmed</t>
    </r>
  </si>
  <si>
    <r>
      <rPr>
        <sz val="10"/>
        <color theme="1"/>
        <rFont val="宋体"/>
        <charset val="134"/>
      </rPr>
      <t>驾驶员</t>
    </r>
    <r>
      <rPr>
        <sz val="10"/>
        <color theme="1"/>
        <rFont val="Times New Roman"/>
        <charset val="134"/>
      </rPr>
      <t>Chauffeur</t>
    </r>
    <r>
      <rPr>
        <sz val="10"/>
        <color theme="1"/>
        <rFont val="宋体"/>
        <charset val="134"/>
      </rPr>
      <t>：</t>
    </r>
  </si>
  <si>
    <r>
      <rPr>
        <sz val="10"/>
        <color theme="1"/>
        <rFont val="宋体"/>
        <charset val="134"/>
      </rPr>
      <t>车牌号</t>
    </r>
    <r>
      <rPr>
        <sz val="10"/>
        <color theme="1"/>
        <rFont val="Times New Roman"/>
        <charset val="134"/>
      </rPr>
      <t xml:space="preserve">
N°DE PLAQUE</t>
    </r>
    <r>
      <rPr>
        <sz val="10"/>
        <color theme="1"/>
        <rFont val="宋体"/>
        <charset val="134"/>
      </rPr>
      <t>：</t>
    </r>
  </si>
  <si>
    <t>Driver</t>
  </si>
  <si>
    <t>Signature:</t>
  </si>
  <si>
    <r>
      <rPr>
        <sz val="10"/>
        <color theme="1"/>
        <rFont val="宋体"/>
        <charset val="134"/>
      </rPr>
      <t>经办人</t>
    </r>
    <r>
      <rPr>
        <sz val="10"/>
        <color theme="1"/>
        <rFont val="Times New Roman"/>
        <charset val="134"/>
      </rPr>
      <t xml:space="preserve">
Requérant</t>
    </r>
    <r>
      <rPr>
        <sz val="10"/>
        <color theme="1"/>
        <rFont val="宋体"/>
        <charset val="134"/>
      </rPr>
      <t>：</t>
    </r>
    <r>
      <rPr>
        <sz val="10"/>
        <color theme="1"/>
        <rFont val="Times New Roman"/>
        <charset val="134"/>
      </rPr>
      <t xml:space="preserve">                             </t>
    </r>
  </si>
  <si>
    <r>
      <rPr>
        <sz val="10"/>
        <color rgb="FF000000"/>
        <rFont val="宋体"/>
        <charset val="134"/>
      </rPr>
      <t>部门负责人</t>
    </r>
    <r>
      <rPr>
        <sz val="10"/>
        <color rgb="FF000000"/>
        <rFont val="Times New Roman"/>
        <charset val="134"/>
      </rPr>
      <t xml:space="preserve">
</t>
    </r>
    <r>
      <rPr>
        <sz val="10"/>
        <color theme="1"/>
        <rFont val="Times New Roman"/>
        <charset val="134"/>
      </rPr>
      <t>L’avis de Responsable du secteur</t>
    </r>
    <r>
      <rPr>
        <sz val="10"/>
        <color theme="1"/>
        <rFont val="宋体"/>
        <charset val="134"/>
      </rPr>
      <t>：</t>
    </r>
  </si>
  <si>
    <r>
      <rPr>
        <sz val="10"/>
        <color theme="1"/>
        <rFont val="宋体"/>
        <charset val="134"/>
      </rPr>
      <t>出厂保安</t>
    </r>
    <r>
      <rPr>
        <sz val="10"/>
        <color theme="1"/>
        <rFont val="Times New Roman"/>
        <charset val="134"/>
      </rPr>
      <t xml:space="preserve">
Sécurité contrôlée</t>
    </r>
  </si>
  <si>
    <r>
      <rPr>
        <sz val="10"/>
        <color rgb="FF000000"/>
        <rFont val="宋体"/>
        <charset val="134"/>
      </rPr>
      <t>出厂时间</t>
    </r>
    <r>
      <rPr>
        <sz val="10"/>
        <color rgb="FF000000"/>
        <rFont val="Times New Roman"/>
        <charset val="134"/>
      </rPr>
      <t xml:space="preserve">
</t>
    </r>
    <r>
      <rPr>
        <sz val="10"/>
        <color theme="1"/>
        <rFont val="Times New Roman"/>
        <charset val="134"/>
      </rPr>
      <t>L’heure de sortie</t>
    </r>
  </si>
  <si>
    <t xml:space="preserve">          ____:____         /       /202</t>
  </si>
  <si>
    <r>
      <rPr>
        <sz val="10"/>
        <color theme="1"/>
        <rFont val="宋体"/>
        <charset val="134"/>
      </rPr>
      <t>备注：</t>
    </r>
  </si>
  <si>
    <r>
      <rPr>
        <sz val="10"/>
        <color theme="1"/>
        <rFont val="宋体"/>
        <charset val="134"/>
      </rPr>
      <t>注意：空车出门亦需要出示由部门指定人员签署的出门条或通过其他方式与中方安保确认。</t>
    </r>
    <r>
      <rPr>
        <sz val="10"/>
        <color theme="1"/>
        <rFont val="Times New Roman"/>
        <charset val="134"/>
      </rPr>
      <t xml:space="preserve">
Attention : le véhicule vide sera obligatoirement muni de ce bon de sortie signé par un désigné chinois du secteur ou par une confirmation verbale avec la sécurité chinoise.</t>
    </r>
  </si>
  <si>
    <r>
      <rPr>
        <b/>
        <sz val="12"/>
        <color rgb="FF000000"/>
        <rFont val="等线 Light"/>
        <charset val="134"/>
      </rPr>
      <t xml:space="preserve"> </t>
    </r>
    <r>
      <rPr>
        <b/>
        <sz val="12"/>
        <color rgb="FF000000"/>
        <rFont val="宋体"/>
        <charset val="134"/>
      </rPr>
      <t xml:space="preserve">   </t>
    </r>
  </si>
  <si>
    <t>物资出门放行证</t>
  </si>
  <si>
    <r>
      <rPr>
        <sz val="12"/>
        <color rgb="FF000000"/>
        <rFont val="Times New Roman"/>
        <charset val="134"/>
      </rPr>
      <t xml:space="preserve">                                                                                  LUILU                   </t>
    </r>
    <r>
      <rPr>
        <sz val="12"/>
        <color rgb="FF000000"/>
        <rFont val="宋体"/>
        <charset val="134"/>
      </rPr>
      <t>日期</t>
    </r>
  </si>
  <si>
    <r>
      <rPr>
        <sz val="12"/>
        <color rgb="FF000000"/>
        <rFont val="Times New Roman"/>
        <charset val="134"/>
      </rPr>
      <t>DATE</t>
    </r>
    <r>
      <rPr>
        <sz val="12"/>
        <color rgb="FF000000"/>
        <rFont val="宋体"/>
        <charset val="134"/>
      </rPr>
      <t>：</t>
    </r>
    <r>
      <rPr>
        <sz val="12"/>
        <color rgb="FF000000"/>
        <rFont val="Times New Roman"/>
        <charset val="134"/>
      </rPr>
      <t xml:space="preserve">2026 </t>
    </r>
    <r>
      <rPr>
        <sz val="12"/>
        <color rgb="FF000000"/>
        <rFont val="宋体"/>
        <charset val="134"/>
      </rPr>
      <t>年（</t>
    </r>
    <r>
      <rPr>
        <sz val="12"/>
        <color rgb="FF000000"/>
        <rFont val="Times New Roman"/>
        <charset val="134"/>
      </rPr>
      <t>A</t>
    </r>
    <r>
      <rPr>
        <sz val="12"/>
        <color rgb="FF000000"/>
        <rFont val="宋体"/>
        <charset val="134"/>
      </rPr>
      <t>）</t>
    </r>
    <r>
      <rPr>
        <sz val="12"/>
        <color rgb="FF000000"/>
        <rFont val="Times New Roman"/>
        <charset val="134"/>
      </rPr>
      <t xml:space="preserve">    </t>
    </r>
    <r>
      <rPr>
        <sz val="12"/>
        <color rgb="FF000000"/>
        <rFont val="宋体"/>
        <charset val="134"/>
      </rPr>
      <t>月（</t>
    </r>
    <r>
      <rPr>
        <sz val="12"/>
        <color rgb="FF000000"/>
        <rFont val="Times New Roman"/>
        <charset val="134"/>
      </rPr>
      <t>M</t>
    </r>
    <r>
      <rPr>
        <sz val="12"/>
        <color rgb="FF000000"/>
        <rFont val="宋体"/>
        <charset val="134"/>
      </rPr>
      <t>）</t>
    </r>
    <r>
      <rPr>
        <sz val="12"/>
        <color rgb="FF000000"/>
        <rFont val="Times New Roman"/>
        <charset val="134"/>
      </rPr>
      <t xml:space="preserve">    </t>
    </r>
    <r>
      <rPr>
        <sz val="12"/>
        <color rgb="FF000000"/>
        <rFont val="宋体"/>
        <charset val="134"/>
      </rPr>
      <t>日（</t>
    </r>
    <r>
      <rPr>
        <sz val="12"/>
        <color rgb="FF000000"/>
        <rFont val="Times New Roman"/>
        <charset val="134"/>
      </rPr>
      <t>J</t>
    </r>
    <r>
      <rPr>
        <sz val="12"/>
        <color rgb="FF000000"/>
        <rFont val="宋体"/>
        <charset val="134"/>
      </rPr>
      <t>）</t>
    </r>
  </si>
  <si>
    <r>
      <rPr>
        <sz val="12"/>
        <color rgb="FF000000"/>
        <rFont val="宋体"/>
        <charset val="134"/>
      </rPr>
      <t>序号</t>
    </r>
    <r>
      <rPr>
        <sz val="12"/>
        <color rgb="FF000000"/>
        <rFont val="Times New Roman"/>
        <charset val="134"/>
      </rPr>
      <t>N°</t>
    </r>
  </si>
  <si>
    <r>
      <rPr>
        <sz val="12"/>
        <color rgb="FF000000"/>
        <rFont val="宋体"/>
        <charset val="134"/>
      </rPr>
      <t>品名</t>
    </r>
    <r>
      <rPr>
        <sz val="12"/>
        <color rgb="FF000000"/>
        <rFont val="Times New Roman"/>
        <charset val="134"/>
      </rPr>
      <t xml:space="preserve">
ARTICLE</t>
    </r>
  </si>
  <si>
    <r>
      <rPr>
        <sz val="12"/>
        <color rgb="FF000000"/>
        <rFont val="宋体"/>
        <charset val="134"/>
      </rPr>
      <t>出门单位</t>
    </r>
    <r>
      <rPr>
        <sz val="12"/>
        <color rgb="FF000000"/>
        <rFont val="Times New Roman"/>
        <charset val="134"/>
      </rPr>
      <t xml:space="preserve">
UNITE 1</t>
    </r>
  </si>
  <si>
    <r>
      <rPr>
        <sz val="12"/>
        <color rgb="FF000000"/>
        <rFont val="宋体"/>
        <charset val="134"/>
      </rPr>
      <t>实出数量</t>
    </r>
    <r>
      <rPr>
        <sz val="12"/>
        <color rgb="FF000000"/>
        <rFont val="Times New Roman"/>
        <charset val="134"/>
      </rPr>
      <t xml:space="preserve">
QUANTITE
SORTIE 1</t>
    </r>
  </si>
  <si>
    <r>
      <rPr>
        <sz val="12"/>
        <color rgb="FF000000"/>
        <rFont val="宋体"/>
        <charset val="134"/>
      </rPr>
      <t>出门单位</t>
    </r>
    <r>
      <rPr>
        <sz val="12"/>
        <color rgb="FF000000"/>
        <rFont val="Times New Roman"/>
        <charset val="134"/>
      </rPr>
      <t>UNITE 2</t>
    </r>
  </si>
  <si>
    <r>
      <rPr>
        <sz val="12"/>
        <color rgb="FF000000"/>
        <rFont val="宋体"/>
        <charset val="134"/>
      </rPr>
      <t xml:space="preserve">实出数量
</t>
    </r>
    <r>
      <rPr>
        <sz val="12"/>
        <color rgb="FF000000"/>
        <rFont val="Times New Roman"/>
        <charset val="134"/>
      </rPr>
      <t>QUANTITE
SORTIE 2</t>
    </r>
  </si>
  <si>
    <r>
      <rPr>
        <sz val="12"/>
        <color rgb="FF000000"/>
        <rFont val="宋体"/>
        <charset val="134"/>
      </rPr>
      <t>备注</t>
    </r>
    <r>
      <rPr>
        <sz val="12"/>
        <color rgb="FF000000"/>
        <rFont val="Times New Roman"/>
        <charset val="134"/>
      </rPr>
      <t>OBSERVATION</t>
    </r>
  </si>
  <si>
    <r>
      <rPr>
        <sz val="12"/>
        <color rgb="FF000000"/>
        <rFont val="Times New Roman"/>
        <charset val="134"/>
      </rPr>
      <t xml:space="preserve">CoppeConcentrate
</t>
    </r>
    <r>
      <rPr>
        <sz val="12"/>
        <color rgb="FF000000"/>
        <rFont val="宋体"/>
        <charset val="134"/>
      </rPr>
      <t>铜精矿</t>
    </r>
  </si>
  <si>
    <r>
      <rPr>
        <sz val="12"/>
        <color rgb="FF000000"/>
        <rFont val="Times New Roman"/>
        <charset val="134"/>
      </rPr>
      <t>□</t>
    </r>
    <r>
      <rPr>
        <sz val="12"/>
        <color rgb="FF000000"/>
        <rFont val="宋体"/>
        <charset val="134"/>
      </rPr>
      <t>委外加工</t>
    </r>
    <r>
      <rPr>
        <sz val="12"/>
        <color rgb="FF000000"/>
        <rFont val="Times New Roman"/>
        <charset val="134"/>
      </rPr>
      <t>A soustraiter
□</t>
    </r>
    <r>
      <rPr>
        <sz val="12"/>
        <color rgb="FF000000"/>
        <rFont val="宋体"/>
        <charset val="134"/>
      </rPr>
      <t>设备加工</t>
    </r>
    <r>
      <rPr>
        <sz val="12"/>
        <color rgb="FF000000"/>
        <rFont val="Times New Roman"/>
        <charset val="134"/>
      </rPr>
      <t>A traiter
□</t>
    </r>
    <r>
      <rPr>
        <sz val="12"/>
        <color rgb="FF000000"/>
        <rFont val="宋体"/>
        <charset val="134"/>
      </rPr>
      <t>来料维修</t>
    </r>
    <r>
      <rPr>
        <sz val="12"/>
        <color rgb="FF000000"/>
        <rFont val="Times New Roman"/>
        <charset val="134"/>
      </rPr>
      <t>A réparer
□</t>
    </r>
    <r>
      <rPr>
        <sz val="12"/>
        <color rgb="FF000000"/>
        <rFont val="宋体"/>
        <charset val="134"/>
      </rPr>
      <t>调拨移库</t>
    </r>
    <r>
      <rPr>
        <sz val="12"/>
        <color rgb="FF000000"/>
        <rFont val="Times New Roman"/>
        <charset val="134"/>
      </rPr>
      <t>Transmise entre dépôt
□</t>
    </r>
    <r>
      <rPr>
        <sz val="12"/>
        <color rgb="FF000000"/>
        <rFont val="宋体"/>
        <charset val="134"/>
      </rPr>
      <t>废品出售</t>
    </r>
    <r>
      <rPr>
        <sz val="12"/>
        <color rgb="FF000000"/>
        <rFont val="Times New Roman"/>
        <charset val="134"/>
      </rPr>
      <t>Vente de déchet
□</t>
    </r>
    <r>
      <rPr>
        <sz val="12"/>
        <color rgb="FF000000"/>
        <rFont val="宋体"/>
        <charset val="134"/>
      </rPr>
      <t>物资退货</t>
    </r>
    <r>
      <rPr>
        <sz val="12"/>
        <color rgb="FF000000"/>
        <rFont val="Times New Roman"/>
        <charset val="134"/>
      </rPr>
      <t>Retour de vente
□</t>
    </r>
    <r>
      <rPr>
        <sz val="12"/>
        <color rgb="FF000000"/>
        <rFont val="宋体"/>
        <charset val="134"/>
      </rPr>
      <t>物资销售</t>
    </r>
    <r>
      <rPr>
        <sz val="12"/>
        <color rgb="FF000000"/>
        <rFont val="Times New Roman"/>
        <charset val="134"/>
      </rPr>
      <t>Vente
□</t>
    </r>
    <r>
      <rPr>
        <sz val="12"/>
        <color rgb="FF000000"/>
        <rFont val="宋体"/>
        <charset val="134"/>
      </rPr>
      <t>物资领用</t>
    </r>
    <r>
      <rPr>
        <sz val="12"/>
        <color rgb="FF000000"/>
        <rFont val="Times New Roman"/>
        <charset val="134"/>
      </rPr>
      <t>La prise de matériaux
■</t>
    </r>
    <r>
      <rPr>
        <sz val="12"/>
        <color rgb="FF000000"/>
        <rFont val="宋体"/>
        <charset val="134"/>
      </rPr>
      <t>产品发运</t>
    </r>
    <r>
      <rPr>
        <sz val="12"/>
        <color rgb="FF000000"/>
        <rFont val="Times New Roman"/>
        <charset val="134"/>
      </rPr>
      <t>L’expédition de marchandise
□</t>
    </r>
    <r>
      <rPr>
        <sz val="12"/>
        <color rgb="FF000000"/>
        <rFont val="宋体"/>
        <charset val="134"/>
      </rPr>
      <t>其他事项</t>
    </r>
    <r>
      <rPr>
        <sz val="12"/>
        <color rgb="FF000000"/>
        <rFont val="Times New Roman"/>
        <charset val="134"/>
      </rPr>
      <t xml:space="preserve"> autres
</t>
    </r>
    <r>
      <rPr>
        <sz val="12"/>
        <color rgb="FF000000"/>
        <rFont val="宋体"/>
        <charset val="134"/>
      </rPr>
      <t>说明</t>
    </r>
    <r>
      <rPr>
        <sz val="12"/>
        <color rgb="FF000000"/>
        <rFont val="Times New Roman"/>
        <charset val="134"/>
      </rPr>
      <t>observation</t>
    </r>
    <r>
      <rPr>
        <sz val="12"/>
        <color rgb="FF000000"/>
        <rFont val="宋体"/>
        <charset val="134"/>
      </rPr>
      <t>：</t>
    </r>
  </si>
  <si>
    <r>
      <rPr>
        <sz val="12"/>
        <color rgb="FF000000"/>
        <rFont val="宋体"/>
        <charset val="134"/>
      </rPr>
      <t>铜停车场安保签字确认捆数</t>
    </r>
    <r>
      <rPr>
        <sz val="12"/>
        <color rgb="FF000000"/>
        <rFont val="Times New Roman"/>
        <charset val="134"/>
      </rPr>
      <t xml:space="preserve">
Parking Security: Bundles amount confirmed</t>
    </r>
  </si>
  <si>
    <r>
      <rPr>
        <sz val="12"/>
        <color rgb="FF000000"/>
        <rFont val="宋体"/>
        <charset val="134"/>
      </rPr>
      <t>资源部签字确认捆数</t>
    </r>
    <r>
      <rPr>
        <sz val="12"/>
        <color rgb="FF000000"/>
        <rFont val="Times New Roman"/>
        <charset val="134"/>
      </rPr>
      <t xml:space="preserve">
Resource Department: Bundles amount confirmed</t>
    </r>
  </si>
  <si>
    <r>
      <rPr>
        <sz val="12"/>
        <color rgb="FF000000"/>
        <rFont val="宋体"/>
        <charset val="134"/>
      </rPr>
      <t>押车安保或司机签字确认捆数</t>
    </r>
    <r>
      <rPr>
        <sz val="12"/>
        <color rgb="FF000000"/>
        <rFont val="Times New Roman"/>
        <charset val="134"/>
      </rPr>
      <t xml:space="preserve">
Escort Team/Driver: Bundles amount confirmed</t>
    </r>
  </si>
  <si>
    <r>
      <rPr>
        <sz val="12"/>
        <color rgb="FF000000"/>
        <rFont val="宋体"/>
        <charset val="134"/>
      </rPr>
      <t>驾驶员</t>
    </r>
    <r>
      <rPr>
        <sz val="12"/>
        <color rgb="FF000000"/>
        <rFont val="Times New Roman"/>
        <charset val="134"/>
      </rPr>
      <t>Chauffeur</t>
    </r>
    <r>
      <rPr>
        <sz val="12"/>
        <color rgb="FF000000"/>
        <rFont val="宋体"/>
        <charset val="134"/>
      </rPr>
      <t>：</t>
    </r>
  </si>
  <si>
    <r>
      <rPr>
        <sz val="12"/>
        <color rgb="FF000000"/>
        <rFont val="宋体"/>
        <charset val="134"/>
      </rPr>
      <t>车牌号</t>
    </r>
    <r>
      <rPr>
        <sz val="12"/>
        <color rgb="FF000000"/>
        <rFont val="Times New Roman"/>
        <charset val="134"/>
      </rPr>
      <t xml:space="preserve">
N°DE PLAQUE</t>
    </r>
    <r>
      <rPr>
        <sz val="12"/>
        <color rgb="FF000000"/>
        <rFont val="宋体"/>
        <charset val="134"/>
      </rPr>
      <t>：</t>
    </r>
  </si>
  <si>
    <r>
      <rPr>
        <sz val="12"/>
        <color rgb="FF000000"/>
        <rFont val="宋体"/>
        <charset val="134"/>
      </rPr>
      <t>经办人</t>
    </r>
    <r>
      <rPr>
        <sz val="12"/>
        <color rgb="FF000000"/>
        <rFont val="Times New Roman"/>
        <charset val="134"/>
      </rPr>
      <t xml:space="preserve">
Requérant</t>
    </r>
    <r>
      <rPr>
        <sz val="12"/>
        <color rgb="FF000000"/>
        <rFont val="宋体"/>
        <charset val="134"/>
      </rPr>
      <t>：</t>
    </r>
    <r>
      <rPr>
        <sz val="12"/>
        <color rgb="FF000000"/>
        <rFont val="Times New Roman"/>
        <charset val="134"/>
      </rPr>
      <t xml:space="preserve">                             </t>
    </r>
  </si>
  <si>
    <r>
      <rPr>
        <sz val="12"/>
        <color rgb="FF000000"/>
        <rFont val="宋体"/>
        <charset val="134"/>
      </rPr>
      <t>部门负责人</t>
    </r>
    <r>
      <rPr>
        <sz val="12"/>
        <color rgb="FF000000"/>
        <rFont val="Times New Roman"/>
        <charset val="134"/>
      </rPr>
      <t xml:space="preserve">
L’avis de Responsable du secteur</t>
    </r>
    <r>
      <rPr>
        <sz val="12"/>
        <color rgb="FF000000"/>
        <rFont val="宋体"/>
        <charset val="134"/>
      </rPr>
      <t>：</t>
    </r>
  </si>
  <si>
    <r>
      <rPr>
        <sz val="12"/>
        <color rgb="FF000000"/>
        <rFont val="宋体"/>
        <charset val="134"/>
      </rPr>
      <t>出厂保安</t>
    </r>
    <r>
      <rPr>
        <sz val="12"/>
        <color rgb="FF000000"/>
        <rFont val="Times New Roman"/>
        <charset val="134"/>
      </rPr>
      <t xml:space="preserve">
Sécurité contrôlée</t>
    </r>
  </si>
  <si>
    <r>
      <rPr>
        <sz val="12"/>
        <color rgb="FF000000"/>
        <rFont val="宋体"/>
        <charset val="134"/>
      </rPr>
      <t>出厂时间</t>
    </r>
    <r>
      <rPr>
        <sz val="12"/>
        <color rgb="FF000000"/>
        <rFont val="Times New Roman"/>
        <charset val="134"/>
      </rPr>
      <t xml:space="preserve">
L’heure de sortie</t>
    </r>
  </si>
  <si>
    <t>备注：</t>
  </si>
  <si>
    <r>
      <rPr>
        <sz val="12"/>
        <color rgb="FF000000"/>
        <rFont val="宋体"/>
        <charset val="134"/>
      </rPr>
      <t>注意：空车出门亦需要出示由部门指定人员签署的出门条或通过其他方式与中方安保确认。</t>
    </r>
    <r>
      <rPr>
        <sz val="12"/>
        <color rgb="FF000000"/>
        <rFont val="Times New Roman"/>
        <charset val="134"/>
      </rPr>
      <t xml:space="preserve">
Attention : le véhicule vide sera obligatoirement muni de ce bon de sortie signé par un désigné chinois du secteur ou par une confirmation verbale avec la sécurité chinoise.</t>
    </r>
  </si>
  <si>
    <t xml:space="preserve">    </t>
  </si>
  <si>
    <t xml:space="preserve">                                                                                  LUILU                   日期</t>
  </si>
  <si>
    <t>DATE：2026 年（A）    月（M）    日（J）</t>
  </si>
  <si>
    <t>序号N°</t>
  </si>
  <si>
    <t>品名
ARTICLE</t>
  </si>
  <si>
    <t>出门单位
UNITE 1</t>
  </si>
  <si>
    <t>实出数量
QUANTITE
SORTIE 1</t>
  </si>
  <si>
    <t>出门单位UNITE 2</t>
  </si>
  <si>
    <t>实出数量
QUANTITE
SORTIE 2</t>
  </si>
  <si>
    <t>备注OBSERVATION</t>
  </si>
  <si>
    <t>CoppeConcentrate
铜精矿</t>
  </si>
  <si>
    <t>□委外加工A soustraiter
□设备加工A traiter
□来料维修A réparer
□调拨移库Transmise entre dépôt
□废品出售Vente de déchet
□物资退货Retour de vente
□物资销售Vente
□物资领用La prise de matériaux
■产品发运L’expédition de marchandise
□其他事项 autres
说明observation：</t>
  </si>
  <si>
    <t>铜停车场安保签字确认捆数
Parking Security: Bundles amount confirmed</t>
  </si>
  <si>
    <t>资源部签字确认捆数
Resource Department: Bundles amount confirmed</t>
  </si>
  <si>
    <t>押车安保或司机签字确认捆数
Escort Team/Driver: Bundles amount confirmed</t>
  </si>
  <si>
    <t>驾驶员Chauffeur：</t>
  </si>
  <si>
    <t>车牌号
N°DE PLAQUE：</t>
  </si>
  <si>
    <t xml:space="preserve">经办人
Requérant：                             </t>
  </si>
  <si>
    <t>部门负责人
L’avis de Responsable du secteur：</t>
  </si>
  <si>
    <t>出厂保安
Sécurité contrôlée</t>
  </si>
  <si>
    <t>出厂时间
L’heure de sortie</t>
  </si>
  <si>
    <t>注意：空车出门亦需要出示由部门指定人员签署的出门条或通过其他方式与中方安保确认。
Attention : le véhicule vide sera obligatoirement muni de ce bon de sortie signé par un désigné chinois du secteur ou par une confirmation verbale avec la sécurité chinoise.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</si>
</sst>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00"/>
    <numFmt numFmtId="181" formatCode="_ * #,##0.000_ ;_ * \-#,##0.000_ ;_ * &quot;-&quot;???_ ;_ @_ "/>
    <numFmt numFmtId="182" formatCode="#,##0.00_ "/>
    <numFmt numFmtId="183" formatCode="0.00_);[Red]\(0.00\)"/>
    <numFmt numFmtId="184" formatCode="d\/mmm\/yy"/>
    <numFmt numFmtId="185" formatCode="_ * #,##0_ ;_ * \-#,##0_ ;_ * &quot;-&quot;??_ ;_ @_ "/>
    <numFmt numFmtId="186" formatCode="0.000_);[Red]\(0.000\)"/>
    <numFmt numFmtId="187" formatCode="#,##0.000_ "/>
    <numFmt numFmtId="188" formatCode="#,##0_ "/>
  </numFmts>
  <fonts count="68">
    <font>
      <sz val="11"/>
      <color theme="1"/>
      <name val="宋体"/>
      <charset val="134"/>
    </font>
    <font>
      <b/>
      <sz val="16"/>
      <color theme="1"/>
      <name val="等线 Light"/>
      <charset val="134"/>
    </font>
    <font>
      <sz val="12"/>
      <color theme="1"/>
      <name val="宋体"/>
      <charset val="134"/>
    </font>
    <font>
      <b/>
      <sz val="16"/>
      <color theme="1"/>
      <name val="Times New Roman"/>
      <charset val="134"/>
    </font>
    <font>
      <sz val="10"/>
      <color theme="1"/>
      <name val="Times New Roman"/>
      <charset val="134"/>
    </font>
    <font>
      <sz val="10"/>
      <color theme="1"/>
      <name val="宋体"/>
      <charset val="134"/>
    </font>
    <font>
      <sz val="10"/>
      <color rgb="FF000000"/>
      <name val="Times New Roman"/>
      <charset val="134"/>
    </font>
    <font>
      <sz val="11"/>
      <color theme="1"/>
      <name val="Times New Roman"/>
      <charset val="134"/>
    </font>
    <font>
      <sz val="10"/>
      <color rgb="FF000000"/>
      <name val="宋体"/>
      <charset val="134"/>
    </font>
    <font>
      <b/>
      <sz val="12"/>
      <color rgb="FF000000"/>
      <name val="等线 Light"/>
      <charset val="134"/>
    </font>
    <font>
      <b/>
      <sz val="12"/>
      <color rgb="FF000000"/>
      <name val="宋体"/>
      <charset val="134"/>
    </font>
    <font>
      <b/>
      <sz val="12"/>
      <color theme="1"/>
      <name val="Times New Roman"/>
      <charset val="134"/>
    </font>
    <font>
      <sz val="12"/>
      <color rgb="FF000000"/>
      <name val="Times New Roman"/>
      <charset val="134"/>
    </font>
    <font>
      <sz val="12"/>
      <color theme="1"/>
      <name val="Times New Roman"/>
      <charset val="134"/>
    </font>
    <font>
      <sz val="12"/>
      <color rgb="FF000000"/>
      <name val="宋体"/>
      <charset val="134"/>
    </font>
    <font>
      <sz val="12"/>
      <name val="宋体"/>
      <charset val="134"/>
    </font>
    <font>
      <b/>
      <sz val="14"/>
      <name val="Arial"/>
      <charset val="134"/>
    </font>
    <font>
      <sz val="7"/>
      <name val="Times New Roman"/>
      <charset val="134"/>
    </font>
    <font>
      <sz val="12"/>
      <name val="Arial Black"/>
      <charset val="134"/>
    </font>
    <font>
      <b/>
      <sz val="9"/>
      <name val="Times New Roman"/>
      <charset val="134"/>
    </font>
    <font>
      <b/>
      <sz val="8"/>
      <name val="Arial"/>
      <charset val="134"/>
    </font>
    <font>
      <sz val="14"/>
      <name val="Arial Black"/>
      <charset val="134"/>
    </font>
    <font>
      <sz val="10"/>
      <name val="Arial"/>
      <charset val="134"/>
    </font>
    <font>
      <sz val="12"/>
      <name val="Times New Roman"/>
      <charset val="134"/>
    </font>
    <font>
      <sz val="10"/>
      <name val="Times New Roman"/>
      <charset val="134"/>
    </font>
    <font>
      <b/>
      <sz val="10"/>
      <name val="Times New Roman"/>
      <charset val="134"/>
    </font>
    <font>
      <sz val="8"/>
      <name val="Arial"/>
      <charset val="134"/>
    </font>
    <font>
      <b/>
      <sz val="12"/>
      <name val="Arial"/>
      <charset val="134"/>
    </font>
    <font>
      <sz val="12"/>
      <name val="Arial"/>
      <charset val="134"/>
    </font>
    <font>
      <b/>
      <sz val="14"/>
      <color rgb="FF000000"/>
      <name val="Arial"/>
      <charset val="134"/>
    </font>
    <font>
      <sz val="10"/>
      <name val="Arial Black"/>
      <charset val="134"/>
    </font>
    <font>
      <sz val="10"/>
      <color indexed="8"/>
      <name val="Times New Roman"/>
      <charset val="134"/>
    </font>
    <font>
      <b/>
      <i/>
      <sz val="10"/>
      <color indexed="8"/>
      <name val="Times New Roman"/>
      <charset val="134"/>
    </font>
    <font>
      <sz val="10"/>
      <name val="宋体"/>
      <charset val="134"/>
    </font>
    <font>
      <b/>
      <sz val="10"/>
      <name val="Times New Roman Regular"/>
      <charset val="134"/>
    </font>
    <font>
      <b/>
      <sz val="10"/>
      <color theme="1"/>
      <name val="Times New Roman Regular"/>
      <charset val="134"/>
    </font>
    <font>
      <b/>
      <sz val="10"/>
      <color rgb="FF000000"/>
      <name val="Times New Roman"/>
      <charset val="134"/>
    </font>
    <font>
      <b/>
      <sz val="12"/>
      <name val="Times New Roman"/>
      <charset val="134"/>
    </font>
    <font>
      <b/>
      <sz val="16"/>
      <name val="Times New Roman"/>
      <charset val="134"/>
    </font>
    <font>
      <sz val="9"/>
      <name val="Times New Roman"/>
      <charset val="134"/>
    </font>
    <font>
      <b/>
      <sz val="14"/>
      <name val="Times New Roman"/>
      <charset val="134"/>
    </font>
    <font>
      <b/>
      <sz val="12"/>
      <color rgb="FF000000"/>
      <name val="Times New Roman"/>
      <charset val="134"/>
    </font>
    <font>
      <sz val="11"/>
      <name val="Times New Roman"/>
      <charset val="134"/>
    </font>
    <font>
      <b/>
      <sz val="11"/>
      <color theme="1"/>
      <name val="Times New Roman"/>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9"/>
      <name val="宋体"/>
      <charset val="134"/>
    </font>
    <font>
      <b/>
      <sz val="14"/>
      <color rgb="FF000000"/>
      <name val="宋体"/>
      <charset val="134"/>
    </font>
    <font>
      <b/>
      <sz val="14"/>
      <color rgb="FF000000"/>
      <name val="宋体-简"/>
      <charset val="134"/>
    </font>
    <font>
      <b/>
      <sz val="16"/>
      <color theme="1"/>
      <name val="宋体"/>
      <charset val="134"/>
    </font>
    <font>
      <b/>
      <sz val="16"/>
      <name val="宋体"/>
      <charset val="134"/>
    </font>
    <font>
      <b/>
      <sz val="14"/>
      <name val="宋体"/>
      <charset val="134"/>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0" fillId="4" borderId="11"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2" applyNumberFormat="0" applyFill="0" applyAlignment="0" applyProtection="0">
      <alignment vertical="center"/>
    </xf>
    <xf numFmtId="0" fontId="50" fillId="0" borderId="12" applyNumberFormat="0" applyFill="0" applyAlignment="0" applyProtection="0">
      <alignment vertical="center"/>
    </xf>
    <xf numFmtId="0" fontId="51" fillId="0" borderId="13" applyNumberFormat="0" applyFill="0" applyAlignment="0" applyProtection="0">
      <alignment vertical="center"/>
    </xf>
    <xf numFmtId="0" fontId="51" fillId="0" borderId="0" applyNumberFormat="0" applyFill="0" applyBorder="0" applyAlignment="0" applyProtection="0">
      <alignment vertical="center"/>
    </xf>
    <xf numFmtId="0" fontId="52" fillId="5" borderId="14" applyNumberFormat="0" applyAlignment="0" applyProtection="0">
      <alignment vertical="center"/>
    </xf>
    <xf numFmtId="0" fontId="53" fillId="6" borderId="15" applyNumberFormat="0" applyAlignment="0" applyProtection="0">
      <alignment vertical="center"/>
    </xf>
    <xf numFmtId="0" fontId="54" fillId="6" borderId="14" applyNumberFormat="0" applyAlignment="0" applyProtection="0">
      <alignment vertical="center"/>
    </xf>
    <xf numFmtId="0" fontId="55" fillId="7" borderId="16" applyNumberFormat="0" applyAlignment="0" applyProtection="0">
      <alignment vertical="center"/>
    </xf>
    <xf numFmtId="0" fontId="56" fillId="0" borderId="17" applyNumberFormat="0" applyFill="0" applyAlignment="0" applyProtection="0">
      <alignment vertical="center"/>
    </xf>
    <xf numFmtId="0" fontId="57" fillId="0" borderId="18" applyNumberFormat="0" applyFill="0" applyAlignment="0" applyProtection="0">
      <alignment vertical="center"/>
    </xf>
    <xf numFmtId="0" fontId="58" fillId="8" borderId="0" applyNumberFormat="0" applyBorder="0" applyAlignment="0" applyProtection="0">
      <alignment vertical="center"/>
    </xf>
    <xf numFmtId="0" fontId="59" fillId="9" borderId="0" applyNumberFormat="0" applyBorder="0" applyAlignment="0" applyProtection="0">
      <alignment vertical="center"/>
    </xf>
    <xf numFmtId="0" fontId="60" fillId="10" borderId="0" applyNumberFormat="0" applyBorder="0" applyAlignment="0" applyProtection="0">
      <alignment vertical="center"/>
    </xf>
    <xf numFmtId="0" fontId="61" fillId="11" borderId="0" applyNumberFormat="0" applyBorder="0" applyAlignment="0" applyProtection="0">
      <alignment vertical="center"/>
    </xf>
    <xf numFmtId="0" fontId="0" fillId="12" borderId="0" applyNumberFormat="0" applyBorder="0" applyAlignment="0" applyProtection="0">
      <alignment vertical="center"/>
    </xf>
    <xf numFmtId="0" fontId="0" fillId="13" borderId="0" applyNumberFormat="0" applyBorder="0" applyAlignment="0" applyProtection="0">
      <alignment vertical="center"/>
    </xf>
    <xf numFmtId="0" fontId="61" fillId="14" borderId="0" applyNumberFormat="0" applyBorder="0" applyAlignment="0" applyProtection="0">
      <alignment vertical="center"/>
    </xf>
    <xf numFmtId="0" fontId="61" fillId="15" borderId="0" applyNumberFormat="0" applyBorder="0" applyAlignment="0" applyProtection="0">
      <alignment vertical="center"/>
    </xf>
    <xf numFmtId="0" fontId="0" fillId="16" borderId="0" applyNumberFormat="0" applyBorder="0" applyAlignment="0" applyProtection="0">
      <alignment vertical="center"/>
    </xf>
    <xf numFmtId="0" fontId="0" fillId="17" borderId="0" applyNumberFormat="0" applyBorder="0" applyAlignment="0" applyProtection="0">
      <alignment vertical="center"/>
    </xf>
    <xf numFmtId="0" fontId="61" fillId="18" borderId="0" applyNumberFormat="0" applyBorder="0" applyAlignment="0" applyProtection="0">
      <alignment vertical="center"/>
    </xf>
    <xf numFmtId="0" fontId="61" fillId="19" borderId="0" applyNumberFormat="0" applyBorder="0" applyAlignment="0" applyProtection="0">
      <alignment vertical="center"/>
    </xf>
    <xf numFmtId="0" fontId="0" fillId="20" borderId="0" applyNumberFormat="0" applyBorder="0" applyAlignment="0" applyProtection="0">
      <alignment vertical="center"/>
    </xf>
    <xf numFmtId="0" fontId="0" fillId="21" borderId="0" applyNumberFormat="0" applyBorder="0" applyAlignment="0" applyProtection="0">
      <alignment vertical="center"/>
    </xf>
    <xf numFmtId="0" fontId="61" fillId="22" borderId="0" applyNumberFormat="0" applyBorder="0" applyAlignment="0" applyProtection="0">
      <alignment vertical="center"/>
    </xf>
    <xf numFmtId="0" fontId="61"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61" fillId="26" borderId="0" applyNumberFormat="0" applyBorder="0" applyAlignment="0" applyProtection="0">
      <alignment vertical="center"/>
    </xf>
    <xf numFmtId="0" fontId="61"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61" fillId="30" borderId="0" applyNumberFormat="0" applyBorder="0" applyAlignment="0" applyProtection="0">
      <alignment vertical="center"/>
    </xf>
    <xf numFmtId="0" fontId="61" fillId="31" borderId="0" applyNumberFormat="0" applyBorder="0" applyAlignment="0" applyProtection="0">
      <alignment vertical="center"/>
    </xf>
    <xf numFmtId="0" fontId="0" fillId="32" borderId="0" applyNumberFormat="0" applyBorder="0" applyAlignment="0" applyProtection="0">
      <alignment vertical="center"/>
    </xf>
    <xf numFmtId="0" fontId="0" fillId="33" borderId="0" applyNumberFormat="0" applyBorder="0" applyAlignment="0" applyProtection="0">
      <alignment vertical="center"/>
    </xf>
    <xf numFmtId="0" fontId="61" fillId="34" borderId="0" applyNumberFormat="0" applyBorder="0" applyAlignment="0" applyProtection="0">
      <alignment vertical="center"/>
    </xf>
    <xf numFmtId="0" fontId="62" fillId="0" borderId="0">
      <alignment vertical="top"/>
      <protection locked="0"/>
    </xf>
    <xf numFmtId="0" fontId="0" fillId="0" borderId="0"/>
    <xf numFmtId="0" fontId="0" fillId="0" borderId="0"/>
    <xf numFmtId="0" fontId="15" fillId="0" borderId="0">
      <alignment vertical="center"/>
    </xf>
    <xf numFmtId="0" fontId="0" fillId="0" borderId="0"/>
    <xf numFmtId="0" fontId="0" fillId="0" borderId="0"/>
  </cellStyleXfs>
  <cellXfs count="184">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justify" vertical="center"/>
    </xf>
    <xf numFmtId="0" fontId="3" fillId="0" borderId="0" xfId="0" applyFont="1" applyAlignment="1">
      <alignment horizontal="center" vertical="center"/>
    </xf>
    <xf numFmtId="0" fontId="4" fillId="0" borderId="0" xfId="0" applyFont="1" applyAlignment="1">
      <alignment horizontal="right" vertical="center"/>
    </xf>
    <xf numFmtId="0" fontId="4" fillId="0" borderId="0" xfId="0" applyFont="1" applyAlignment="1">
      <alignment horizontal="right"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wrapText="1"/>
    </xf>
    <xf numFmtId="0" fontId="6" fillId="2" borderId="1" xfId="0" applyFont="1" applyFill="1" applyBorder="1" applyAlignment="1">
      <alignment horizontal="center" vertical="center" wrapText="1"/>
    </xf>
    <xf numFmtId="0" fontId="7" fillId="0" borderId="1" xfId="0" applyFont="1" applyBorder="1" applyAlignment="1">
      <alignment horizontal="left" vertical="top" wrapText="1"/>
    </xf>
    <xf numFmtId="0" fontId="4" fillId="0" borderId="3" xfId="0" applyFont="1" applyBorder="1" applyAlignment="1">
      <alignment horizontal="center" vertical="top" wrapText="1"/>
    </xf>
    <xf numFmtId="0" fontId="4" fillId="0" borderId="1" xfId="0" applyFont="1" applyBorder="1" applyAlignment="1">
      <alignment horizontal="left"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7" fillId="0" borderId="3" xfId="0" applyFont="1" applyBorder="1" applyAlignment="1">
      <alignment horizontal="center" vertical="center"/>
    </xf>
    <xf numFmtId="0" fontId="5" fillId="0" borderId="1" xfId="0" applyFont="1" applyBorder="1" applyAlignment="1">
      <alignment horizontal="left" vertical="center" wrapText="1"/>
    </xf>
    <xf numFmtId="0" fontId="8" fillId="2" borderId="1" xfId="0" applyFont="1" applyFill="1" applyBorder="1" applyAlignment="1">
      <alignment horizontal="center" vertical="center" wrapText="1"/>
    </xf>
    <xf numFmtId="0" fontId="4" fillId="0" borderId="1" xfId="0" applyFont="1" applyBorder="1" applyAlignment="1">
      <alignment horizontal="justify" vertical="center" wrapText="1"/>
    </xf>
    <xf numFmtId="0" fontId="2" fillId="0" borderId="0" xfId="0" applyFont="1">
      <alignment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right" vertical="center"/>
    </xf>
    <xf numFmtId="0" fontId="13" fillId="0" borderId="0" xfId="0" applyFont="1" applyAlignment="1">
      <alignment horizontal="right" vertical="center"/>
    </xf>
    <xf numFmtId="0" fontId="12" fillId="0" borderId="0" xfId="0" applyFont="1" applyAlignment="1">
      <alignment horizontal="right" vertical="center" wrapText="1"/>
    </xf>
    <xf numFmtId="0" fontId="13" fillId="0" borderId="0" xfId="0" applyFont="1" applyAlignment="1">
      <alignment horizontal="right"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2" xfId="0" applyFont="1" applyBorder="1" applyAlignment="1">
      <alignment horizontal="center" wrapText="1"/>
    </xf>
    <xf numFmtId="0" fontId="12" fillId="2" borderId="1" xfId="0" applyFont="1" applyFill="1" applyBorder="1" applyAlignment="1">
      <alignment horizontal="center" vertical="center" wrapText="1"/>
    </xf>
    <xf numFmtId="0" fontId="12" fillId="0" borderId="1" xfId="0" applyFont="1" applyBorder="1" applyAlignment="1">
      <alignment horizontal="left" vertical="top" wrapText="1"/>
    </xf>
    <xf numFmtId="0" fontId="13" fillId="0" borderId="3" xfId="0" applyFont="1" applyBorder="1" applyAlignment="1">
      <alignment horizontal="center"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center" wrapText="1"/>
    </xf>
    <xf numFmtId="0" fontId="13" fillId="0" borderId="1" xfId="0" applyFont="1" applyBorder="1" applyAlignment="1">
      <alignment horizontal="left"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xf>
    <xf numFmtId="0" fontId="14" fillId="2" borderId="1" xfId="0" applyFont="1" applyFill="1" applyBorder="1" applyAlignment="1">
      <alignment horizontal="center" vertical="center" wrapText="1"/>
    </xf>
    <xf numFmtId="0" fontId="13" fillId="0" borderId="1" xfId="0" applyFont="1" applyBorder="1" applyAlignment="1">
      <alignment horizontal="justify" vertical="center" wrapText="1"/>
    </xf>
    <xf numFmtId="0" fontId="15" fillId="0" borderId="0" xfId="0" applyFont="1" applyFill="1" applyAlignment="1">
      <alignment vertical="center"/>
    </xf>
    <xf numFmtId="0" fontId="16" fillId="0" borderId="0" xfId="0" applyFont="1" applyFill="1" applyAlignment="1">
      <alignment horizontal="center" vertical="center"/>
    </xf>
    <xf numFmtId="0" fontId="17" fillId="0" borderId="0" xfId="0" applyFont="1" applyFill="1" applyAlignment="1">
      <alignment horizontal="left" vertical="center" wrapText="1"/>
    </xf>
    <xf numFmtId="0" fontId="17" fillId="0" borderId="0" xfId="0" applyFont="1" applyFill="1" applyAlignment="1">
      <alignment horizontal="center" vertical="center" wrapText="1"/>
    </xf>
    <xf numFmtId="0" fontId="17" fillId="0" borderId="0" xfId="0" applyFont="1" applyFill="1" applyAlignment="1">
      <alignment horizontal="right" vertical="center"/>
    </xf>
    <xf numFmtId="0" fontId="17" fillId="0" borderId="0" xfId="0" applyFont="1" applyFill="1" applyAlignment="1">
      <alignment horizontal="center" vertical="center"/>
    </xf>
    <xf numFmtId="0" fontId="18" fillId="0" borderId="5" xfId="0" applyFont="1" applyFill="1" applyBorder="1" applyAlignment="1">
      <alignment horizontal="center"/>
    </xf>
    <xf numFmtId="0" fontId="19" fillId="0" borderId="0" xfId="0" applyFont="1" applyFill="1" applyAlignment="1">
      <alignment horizontal="left" vertical="center" wrapText="1"/>
    </xf>
    <xf numFmtId="0" fontId="20" fillId="0" borderId="0" xfId="0" applyFont="1" applyFill="1" applyAlignment="1">
      <alignment horizontal="left" vertical="center"/>
    </xf>
    <xf numFmtId="0" fontId="15" fillId="0" borderId="0" xfId="0" applyFont="1" applyFill="1" applyAlignment="1"/>
    <xf numFmtId="0" fontId="21" fillId="0" borderId="0" xfId="0" applyFont="1" applyFill="1" applyAlignment="1">
      <alignment horizontal="center"/>
    </xf>
    <xf numFmtId="0" fontId="22" fillId="0" borderId="0" xfId="0" applyFont="1" applyFill="1" applyAlignment="1">
      <alignment vertical="center"/>
    </xf>
    <xf numFmtId="0" fontId="23" fillId="0" borderId="0" xfId="0" applyFont="1" applyFill="1" applyAlignment="1">
      <alignment horizontal="right"/>
    </xf>
    <xf numFmtId="0" fontId="24" fillId="0" borderId="0" xfId="0" applyFont="1" applyFill="1" applyAlignment="1">
      <alignment horizontal="right"/>
    </xf>
    <xf numFmtId="0" fontId="25" fillId="0" borderId="0" xfId="0" applyFont="1" applyFill="1" applyAlignment="1">
      <alignment horizontal="left"/>
    </xf>
    <xf numFmtId="0" fontId="26" fillId="0" borderId="0" xfId="0" applyFont="1" applyFill="1" applyAlignment="1">
      <alignment vertical="center"/>
    </xf>
    <xf numFmtId="15" fontId="24" fillId="0" borderId="0" xfId="0" applyNumberFormat="1" applyFont="1" applyFill="1" applyAlignment="1">
      <alignment horizontal="left" vertical="center"/>
    </xf>
    <xf numFmtId="0" fontId="24" fillId="0" borderId="0" xfId="0" applyFont="1" applyFill="1" applyAlignment="1">
      <alignment horizontal="center"/>
    </xf>
    <xf numFmtId="180" fontId="15" fillId="0" borderId="0" xfId="0" applyNumberFormat="1" applyFont="1" applyFill="1" applyAlignment="1">
      <alignment vertical="center"/>
    </xf>
    <xf numFmtId="0" fontId="27" fillId="0" borderId="0" xfId="0" applyFont="1" applyFill="1" applyAlignment="1">
      <alignment vertical="center"/>
    </xf>
    <xf numFmtId="0" fontId="28" fillId="0" borderId="0" xfId="0" applyFont="1" applyFill="1" applyAlignment="1">
      <alignment vertical="center"/>
    </xf>
    <xf numFmtId="0" fontId="26" fillId="0" borderId="0" xfId="0" applyFont="1" applyFill="1" applyAlignment="1"/>
    <xf numFmtId="0" fontId="26" fillId="0" borderId="0" xfId="0" applyFont="1" applyFill="1" applyAlignment="1">
      <alignment horizontal="left"/>
    </xf>
    <xf numFmtId="0" fontId="24" fillId="0" borderId="0" xfId="0" applyFont="1" applyFill="1" applyAlignment="1">
      <alignment horizontal="left"/>
    </xf>
    <xf numFmtId="0" fontId="26" fillId="0" borderId="0" xfId="0" applyFont="1" applyFill="1" applyAlignment="1">
      <alignment horizontal="right"/>
    </xf>
    <xf numFmtId="0" fontId="24" fillId="0" borderId="0" xfId="0" applyFont="1" applyFill="1" applyAlignment="1">
      <alignment vertical="center"/>
    </xf>
    <xf numFmtId="0" fontId="26" fillId="0" borderId="0" xfId="0" applyFont="1" applyFill="1" applyAlignment="1">
      <alignment horizontal="center" wrapText="1"/>
    </xf>
    <xf numFmtId="181" fontId="24" fillId="0" borderId="0" xfId="1" applyNumberFormat="1" applyFont="1" applyAlignment="1">
      <alignment vertical="center"/>
    </xf>
    <xf numFmtId="182" fontId="26" fillId="0" borderId="0" xfId="1" applyNumberFormat="1" applyFont="1" applyAlignment="1">
      <alignment horizontal="right"/>
    </xf>
    <xf numFmtId="181" fontId="24" fillId="0" borderId="0" xfId="1" applyNumberFormat="1" applyFont="1" applyBorder="1" applyAlignment="1">
      <alignment vertical="center"/>
    </xf>
    <xf numFmtId="0" fontId="26" fillId="0" borderId="0" xfId="0" applyFont="1" applyFill="1" applyAlignment="1">
      <alignment horizontal="right" vertical="center"/>
    </xf>
    <xf numFmtId="181" fontId="24" fillId="0" borderId="1" xfId="1" applyNumberFormat="1" applyFont="1" applyBorder="1" applyAlignment="1">
      <alignment vertical="center"/>
    </xf>
    <xf numFmtId="0" fontId="22" fillId="0" borderId="0" xfId="0" applyFont="1" applyFill="1" applyBorder="1" applyAlignment="1">
      <alignment vertical="center"/>
    </xf>
    <xf numFmtId="10" fontId="15" fillId="0" borderId="0" xfId="0" applyNumberFormat="1" applyFont="1" applyFill="1" applyBorder="1" applyAlignment="1"/>
    <xf numFmtId="0" fontId="26" fillId="0" borderId="1" xfId="0" applyFont="1" applyFill="1" applyBorder="1" applyAlignment="1">
      <alignment vertical="center"/>
    </xf>
    <xf numFmtId="182" fontId="26" fillId="0" borderId="6" xfId="1" applyNumberFormat="1" applyFont="1" applyBorder="1" applyAlignment="1"/>
    <xf numFmtId="182" fontId="26" fillId="0" borderId="7" xfId="1" applyNumberFormat="1" applyFont="1" applyBorder="1" applyAlignment="1"/>
    <xf numFmtId="0" fontId="20" fillId="0" borderId="0" xfId="0" applyFont="1" applyFill="1" applyAlignment="1">
      <alignment vertical="center"/>
    </xf>
    <xf numFmtId="0" fontId="26" fillId="0" borderId="8" xfId="0" applyFont="1" applyFill="1" applyBorder="1" applyAlignment="1">
      <alignment horizontal="center"/>
    </xf>
    <xf numFmtId="0" fontId="26" fillId="0" borderId="0" xfId="0" applyFont="1" applyFill="1" applyAlignment="1">
      <alignment horizontal="center"/>
    </xf>
    <xf numFmtId="183" fontId="26" fillId="0" borderId="1" xfId="0" applyNumberFormat="1" applyFont="1" applyFill="1" applyBorder="1" applyAlignment="1">
      <alignment vertical="center"/>
    </xf>
    <xf numFmtId="0" fontId="26" fillId="0" borderId="8" xfId="0" applyFont="1" applyFill="1" applyBorder="1" applyAlignment="1">
      <alignment vertical="center"/>
    </xf>
    <xf numFmtId="176" fontId="26" fillId="0" borderId="0" xfId="1" applyFont="1" applyAlignment="1">
      <alignment horizontal="left" vertical="center"/>
    </xf>
    <xf numFmtId="176" fontId="26" fillId="0" borderId="6" xfId="1" applyFont="1" applyBorder="1" applyAlignment="1">
      <alignment horizontal="left" vertical="center"/>
    </xf>
    <xf numFmtId="176" fontId="26" fillId="0" borderId="7" xfId="1" applyFont="1" applyBorder="1" applyAlignment="1">
      <alignment horizontal="left" vertical="center"/>
    </xf>
    <xf numFmtId="176" fontId="26" fillId="0" borderId="0" xfId="1" applyFont="1" applyBorder="1" applyAlignment="1"/>
    <xf numFmtId="0" fontId="26" fillId="0" borderId="9" xfId="0" applyFont="1" applyFill="1" applyBorder="1" applyAlignment="1">
      <alignment vertical="center"/>
    </xf>
    <xf numFmtId="0" fontId="20" fillId="0" borderId="0" xfId="0" applyFont="1" applyFill="1" applyAlignment="1"/>
    <xf numFmtId="0" fontId="29" fillId="0" borderId="0" xfId="0" applyFont="1" applyFill="1" applyAlignment="1">
      <alignment horizontal="center" vertical="center"/>
    </xf>
    <xf numFmtId="0" fontId="30" fillId="0" borderId="5" xfId="0" applyFont="1" applyFill="1" applyBorder="1" applyAlignment="1">
      <alignment horizontal="center"/>
    </xf>
    <xf numFmtId="0" fontId="31" fillId="0" borderId="0" xfId="0" applyFont="1" applyFill="1" applyAlignment="1">
      <alignment vertical="center"/>
    </xf>
    <xf numFmtId="0" fontId="31" fillId="0" borderId="10" xfId="0" applyFont="1" applyFill="1" applyBorder="1" applyAlignment="1">
      <alignment vertical="center"/>
    </xf>
    <xf numFmtId="0" fontId="31" fillId="0" borderId="0" xfId="0" applyFont="1" applyFill="1" applyAlignment="1">
      <alignment horizontal="left" vertical="center"/>
    </xf>
    <xf numFmtId="0" fontId="24" fillId="0" borderId="0" xfId="0" applyFont="1" applyFill="1" applyAlignment="1">
      <alignment horizontal="left" vertical="center"/>
    </xf>
    <xf numFmtId="0" fontId="31" fillId="0" borderId="0" xfId="0" applyFont="1" applyFill="1" applyAlignment="1"/>
    <xf numFmtId="184" fontId="31" fillId="0" borderId="0" xfId="0" applyNumberFormat="1" applyFont="1" applyFill="1" applyAlignment="1">
      <alignment horizontal="left" vertical="center"/>
    </xf>
    <xf numFmtId="0" fontId="32" fillId="0" borderId="0" xfId="0" applyFont="1" applyFill="1" applyAlignment="1"/>
    <xf numFmtId="0" fontId="24" fillId="0" borderId="0" xfId="0" applyNumberFormat="1" applyFont="1" applyFill="1" applyAlignment="1">
      <alignment horizontal="left" vertical="center"/>
    </xf>
    <xf numFmtId="0" fontId="15" fillId="0" borderId="0" xfId="0" applyFont="1" applyFill="1" applyAlignment="1">
      <alignment horizontal="left" vertical="center"/>
    </xf>
    <xf numFmtId="0" fontId="31" fillId="0" borderId="0" xfId="0" applyFont="1" applyFill="1" applyAlignment="1">
      <alignment horizontal="center" vertical="center" wrapText="1"/>
    </xf>
    <xf numFmtId="0" fontId="31" fillId="0" borderId="0" xfId="0" applyFont="1" applyFill="1" applyAlignment="1">
      <alignment horizontal="center"/>
    </xf>
    <xf numFmtId="0" fontId="24" fillId="0" borderId="0" xfId="0" applyFont="1" applyFill="1" applyAlignment="1">
      <alignment horizontal="center" vertical="center" wrapText="1"/>
    </xf>
    <xf numFmtId="0" fontId="31" fillId="0" borderId="0" xfId="0" applyFont="1" applyFill="1" applyAlignment="1">
      <alignment horizontal="center" vertical="center"/>
    </xf>
    <xf numFmtId="0" fontId="0" fillId="0" borderId="1" xfId="0" applyBorder="1" applyAlignment="1">
      <alignment horizontal="center" vertical="center"/>
    </xf>
    <xf numFmtId="0" fontId="0" fillId="0" borderId="1" xfId="0" applyBorder="1">
      <alignment vertical="center"/>
    </xf>
    <xf numFmtId="0" fontId="15" fillId="0" borderId="9" xfId="0" applyFont="1" applyFill="1" applyBorder="1" applyAlignment="1">
      <alignment vertical="center"/>
    </xf>
    <xf numFmtId="0" fontId="15" fillId="0" borderId="0" xfId="0" applyFont="1" applyFill="1" applyBorder="1" applyAlignment="1">
      <alignment vertical="center"/>
    </xf>
    <xf numFmtId="0" fontId="33" fillId="0" borderId="0" xfId="0" applyFont="1" applyFill="1" applyBorder="1" applyAlignment="1">
      <alignment horizontal="left" vertical="center"/>
    </xf>
    <xf numFmtId="0" fontId="24" fillId="0" borderId="1" xfId="0" applyFont="1" applyFill="1" applyBorder="1" applyAlignment="1">
      <alignment horizontal="center" vertical="center" wrapText="1"/>
    </xf>
    <xf numFmtId="49" fontId="24" fillId="0" borderId="1" xfId="0" applyNumberFormat="1" applyFont="1" applyFill="1" applyBorder="1" applyAlignment="1">
      <alignment horizontal="center" vertical="center"/>
    </xf>
    <xf numFmtId="0" fontId="0" fillId="0" borderId="1" xfId="0" applyFill="1" applyBorder="1" applyAlignment="1">
      <alignment horizontal="center"/>
    </xf>
    <xf numFmtId="0" fontId="0" fillId="0" borderId="1" xfId="0" applyFill="1" applyBorder="1" applyAlignment="1">
      <alignment horizontal="center" vertical="center"/>
    </xf>
    <xf numFmtId="0" fontId="33" fillId="0" borderId="1" xfId="0" applyFont="1" applyFill="1" applyBorder="1" applyAlignment="1">
      <alignment horizontal="center" vertical="center"/>
    </xf>
    <xf numFmtId="0" fontId="15" fillId="3" borderId="1" xfId="49" applyFont="1" applyFill="1" applyBorder="1" applyAlignment="1" applyProtection="1">
      <alignment horizontal="center" vertical="center"/>
    </xf>
    <xf numFmtId="3" fontId="24" fillId="0" borderId="1" xfId="0" applyNumberFormat="1" applyFont="1" applyFill="1" applyBorder="1" applyAlignment="1">
      <alignment horizontal="center" vertical="center" wrapText="1"/>
    </xf>
    <xf numFmtId="0" fontId="33" fillId="3" borderId="1" xfId="49" applyFont="1" applyFill="1" applyBorder="1" applyAlignment="1" applyProtection="1">
      <alignment horizontal="center" vertical="center"/>
    </xf>
    <xf numFmtId="0" fontId="31" fillId="0" borderId="1" xfId="0" applyFont="1" applyFill="1" applyBorder="1" applyAlignment="1">
      <alignment horizontal="center" vertical="center" wrapText="1"/>
    </xf>
    <xf numFmtId="3" fontId="31" fillId="0" borderId="1" xfId="0" applyNumberFormat="1" applyFont="1" applyFill="1" applyBorder="1" applyAlignment="1">
      <alignment horizontal="center" vertical="center" wrapText="1"/>
    </xf>
    <xf numFmtId="0" fontId="34" fillId="0" borderId="0" xfId="0" applyFont="1" applyFill="1" applyBorder="1" applyAlignment="1">
      <alignment horizontal="left" vertical="center"/>
    </xf>
    <xf numFmtId="0" fontId="35" fillId="0" borderId="0" xfId="0" applyFont="1" applyBorder="1" applyAlignment="1">
      <alignment horizontal="left" vertical="center"/>
    </xf>
    <xf numFmtId="0" fontId="34" fillId="0" borderId="0" xfId="0" applyFont="1" applyFill="1" applyAlignment="1">
      <alignment horizontal="left" vertical="center"/>
    </xf>
    <xf numFmtId="0" fontId="35" fillId="0" borderId="0" xfId="0" applyFont="1" applyAlignment="1">
      <alignment horizontal="left" vertical="center"/>
    </xf>
    <xf numFmtId="0" fontId="34" fillId="0" borderId="0" xfId="0" applyFont="1" applyFill="1" applyAlignment="1">
      <alignment horizontal="left"/>
    </xf>
    <xf numFmtId="0" fontId="33" fillId="0" borderId="0" xfId="0" applyFont="1" applyFill="1" applyAlignment="1">
      <alignment horizontal="center" vertical="center" wrapText="1"/>
    </xf>
    <xf numFmtId="0" fontId="0" fillId="0" borderId="1" xfId="0" applyFont="1" applyFill="1" applyBorder="1" applyAlignment="1">
      <alignment horizontal="center"/>
    </xf>
    <xf numFmtId="0" fontId="25" fillId="0" borderId="1" xfId="0" applyFont="1" applyFill="1" applyBorder="1" applyAlignment="1">
      <alignment horizontal="center" vertical="center"/>
    </xf>
    <xf numFmtId="0" fontId="36" fillId="0" borderId="1" xfId="0" applyFont="1" applyFill="1" applyBorder="1" applyAlignment="1">
      <alignment horizontal="center" vertical="center" wrapText="1"/>
    </xf>
    <xf numFmtId="0" fontId="25" fillId="0" borderId="0" xfId="0" applyFont="1" applyFill="1" applyBorder="1" applyAlignment="1">
      <alignment horizontal="left" vertical="center"/>
    </xf>
    <xf numFmtId="0" fontId="31" fillId="0" borderId="0" xfId="0" applyFont="1" applyFill="1" applyBorder="1" applyAlignment="1">
      <alignment horizontal="left" vertical="center" wrapText="1"/>
    </xf>
    <xf numFmtId="3" fontId="31" fillId="0" borderId="0" xfId="0" applyNumberFormat="1" applyFont="1" applyFill="1" applyBorder="1" applyAlignment="1">
      <alignment horizontal="left" vertical="center" wrapText="1"/>
    </xf>
    <xf numFmtId="0" fontId="0" fillId="0" borderId="0" xfId="0" applyFont="1" applyFill="1" applyBorder="1" applyAlignment="1">
      <alignment horizontal="center"/>
    </xf>
    <xf numFmtId="0" fontId="24" fillId="0" borderId="0" xfId="1" applyNumberFormat="1" applyFont="1" applyBorder="1" applyAlignment="1">
      <alignment horizontal="left" vertical="center"/>
    </xf>
    <xf numFmtId="185" fontId="34" fillId="0" borderId="0" xfId="1" applyNumberFormat="1" applyFont="1" applyBorder="1" applyAlignment="1">
      <alignment horizontal="left" vertical="center"/>
    </xf>
    <xf numFmtId="0" fontId="34" fillId="0" borderId="0" xfId="1" applyNumberFormat="1" applyFont="1" applyBorder="1" applyAlignment="1">
      <alignment horizontal="left" vertical="center"/>
    </xf>
    <xf numFmtId="0" fontId="25" fillId="0" borderId="0" xfId="0" applyFont="1" applyFill="1" applyBorder="1" applyAlignment="1">
      <alignment horizontal="center" vertical="center"/>
    </xf>
    <xf numFmtId="0" fontId="24" fillId="0" borderId="0" xfId="0" applyFont="1" applyFill="1" applyBorder="1" applyAlignment="1">
      <alignment horizontal="center" vertical="center" wrapText="1"/>
    </xf>
    <xf numFmtId="0" fontId="15" fillId="3" borderId="0" xfId="49" applyFont="1" applyFill="1" applyBorder="1" applyAlignment="1" applyProtection="1">
      <alignment horizontal="center" vertical="center"/>
    </xf>
    <xf numFmtId="3" fontId="24" fillId="0" borderId="0" xfId="0" applyNumberFormat="1" applyFont="1" applyFill="1" applyBorder="1" applyAlignment="1">
      <alignment horizontal="center" vertical="center" wrapText="1"/>
    </xf>
    <xf numFmtId="0" fontId="36" fillId="0" borderId="0" xfId="0" applyFont="1" applyFill="1" applyBorder="1" applyAlignment="1">
      <alignment horizontal="left" vertical="center" wrapText="1"/>
    </xf>
    <xf numFmtId="0" fontId="24" fillId="0" borderId="0" xfId="0" applyFont="1" applyFill="1" applyBorder="1" applyAlignment="1">
      <alignment horizontal="left" vertical="center" wrapText="1"/>
    </xf>
    <xf numFmtId="0" fontId="33" fillId="3" borderId="0" xfId="49" applyFont="1" applyFill="1" applyBorder="1" applyAlignment="1" applyProtection="1">
      <alignment horizontal="left" vertical="center"/>
    </xf>
    <xf numFmtId="3" fontId="24" fillId="0" borderId="0" xfId="0" applyNumberFormat="1" applyFont="1" applyFill="1" applyBorder="1" applyAlignment="1">
      <alignment horizontal="left" vertical="center" wrapText="1"/>
    </xf>
    <xf numFmtId="185" fontId="24" fillId="0" borderId="0" xfId="1" applyNumberFormat="1" applyFont="1" applyBorder="1" applyAlignment="1">
      <alignment horizontal="left" vertical="center"/>
    </xf>
    <xf numFmtId="0" fontId="34" fillId="0" borderId="0" xfId="0" applyFont="1" applyFill="1" applyAlignment="1">
      <alignment vertical="center"/>
    </xf>
    <xf numFmtId="0" fontId="35" fillId="0" borderId="0" xfId="0" applyFont="1" applyAlignment="1">
      <alignment vertical="center"/>
    </xf>
    <xf numFmtId="0" fontId="34" fillId="0" borderId="0" xfId="0" applyFont="1" applyFill="1" applyAlignment="1"/>
    <xf numFmtId="0" fontId="0" fillId="0" borderId="0" xfId="0" applyAlignment="1">
      <alignment horizontal="left" vertical="center"/>
    </xf>
    <xf numFmtId="0" fontId="0" fillId="0" borderId="0" xfId="0" applyFill="1" applyBorder="1" applyAlignment="1">
      <alignment horizontal="center"/>
    </xf>
    <xf numFmtId="0" fontId="0" fillId="0" borderId="0" xfId="0" applyFill="1" applyBorder="1" applyAlignment="1">
      <alignment horizontal="center" vertical="center"/>
    </xf>
    <xf numFmtId="0" fontId="23" fillId="0" borderId="0" xfId="0" applyFont="1" applyFill="1" applyAlignment="1">
      <alignment horizontal="center" vertical="center"/>
    </xf>
    <xf numFmtId="0" fontId="24" fillId="0" borderId="0" xfId="0" applyFont="1" applyFill="1" applyAlignment="1">
      <alignment horizontal="center" vertical="center"/>
    </xf>
    <xf numFmtId="0" fontId="37" fillId="0" borderId="0" xfId="0" applyFont="1" applyFill="1" applyAlignment="1">
      <alignment horizontal="center" vertical="center"/>
    </xf>
    <xf numFmtId="186" fontId="23" fillId="0" borderId="0" xfId="0" applyNumberFormat="1" applyFont="1" applyFill="1" applyAlignment="1">
      <alignment horizontal="center" vertical="center"/>
    </xf>
    <xf numFmtId="0" fontId="38" fillId="0" borderId="0" xfId="0" applyFont="1" applyFill="1" applyAlignment="1">
      <alignment horizontal="center" vertical="center"/>
    </xf>
    <xf numFmtId="0" fontId="38" fillId="0" borderId="5" xfId="0" applyFont="1" applyFill="1" applyBorder="1" applyAlignment="1">
      <alignment horizontal="center" vertical="center"/>
    </xf>
    <xf numFmtId="0" fontId="39" fillId="0" borderId="0" xfId="0" applyFont="1" applyFill="1" applyAlignment="1">
      <alignment horizontal="left" vertical="center" wrapText="1"/>
    </xf>
    <xf numFmtId="0" fontId="39" fillId="0" borderId="0" xfId="0" applyFont="1" applyFill="1" applyAlignment="1">
      <alignment vertical="center" wrapText="1"/>
    </xf>
    <xf numFmtId="0" fontId="40" fillId="0" borderId="0" xfId="0" applyFont="1" applyFill="1" applyAlignment="1">
      <alignment horizontal="center" vertical="center"/>
    </xf>
    <xf numFmtId="0" fontId="12" fillId="0" borderId="0" xfId="0" applyFont="1" applyFill="1" applyAlignment="1">
      <alignment vertical="center"/>
    </xf>
    <xf numFmtId="0" fontId="37" fillId="0" borderId="0" xfId="0" applyFont="1" applyFill="1" applyAlignment="1">
      <alignment vertical="center"/>
    </xf>
    <xf numFmtId="0" fontId="37" fillId="0" borderId="0" xfId="0" applyFont="1" applyFill="1" applyAlignment="1">
      <alignment horizontal="left" vertical="center"/>
    </xf>
    <xf numFmtId="0" fontId="41" fillId="0" borderId="0" xfId="0" applyFont="1" applyFill="1" applyAlignment="1">
      <alignment vertical="center"/>
    </xf>
    <xf numFmtId="0" fontId="37" fillId="0" borderId="9" xfId="0" applyFont="1" applyFill="1" applyBorder="1" applyAlignment="1">
      <alignment horizontal="left" vertical="center"/>
    </xf>
    <xf numFmtId="0" fontId="25" fillId="0" borderId="2" xfId="50" applyFont="1" applyBorder="1" applyAlignment="1">
      <alignment horizontal="center" vertical="center"/>
    </xf>
    <xf numFmtId="0" fontId="25" fillId="0" borderId="1" xfId="50" applyFont="1" applyBorder="1" applyAlignment="1">
      <alignment horizontal="center" vertical="center"/>
    </xf>
    <xf numFmtId="0" fontId="7" fillId="0" borderId="1" xfId="50" applyFont="1" applyBorder="1" applyAlignment="1">
      <alignment horizontal="center" vertical="center"/>
    </xf>
    <xf numFmtId="0" fontId="42" fillId="0" borderId="1" xfId="50" applyFont="1" applyBorder="1" applyAlignment="1">
      <alignment horizontal="center" vertical="center"/>
    </xf>
    <xf numFmtId="0" fontId="42" fillId="0" borderId="1" xfId="50" applyFont="1" applyFill="1" applyBorder="1" applyAlignment="1">
      <alignment horizontal="center" vertical="center"/>
    </xf>
    <xf numFmtId="187" fontId="42" fillId="0" borderId="1" xfId="50" applyNumberFormat="1" applyFont="1" applyBorder="1" applyAlignment="1">
      <alignment horizontal="center" vertical="center"/>
    </xf>
    <xf numFmtId="187" fontId="42" fillId="0" borderId="1" xfId="50" applyNumberFormat="1" applyFont="1" applyFill="1" applyBorder="1" applyAlignment="1">
      <alignment horizontal="center" vertical="center"/>
    </xf>
    <xf numFmtId="0" fontId="23" fillId="0" borderId="1" xfId="50" applyFont="1" applyBorder="1" applyAlignment="1">
      <alignment horizontal="center" vertical="center"/>
    </xf>
    <xf numFmtId="0" fontId="23" fillId="0" borderId="1" xfId="0" applyFont="1" applyFill="1" applyBorder="1" applyAlignment="1">
      <alignment horizontal="center" vertical="center"/>
    </xf>
    <xf numFmtId="0" fontId="24" fillId="0" borderId="1" xfId="51" applyFont="1" applyBorder="1" applyAlignment="1">
      <alignment horizontal="center" vertical="center"/>
    </xf>
    <xf numFmtId="0" fontId="37" fillId="0" borderId="1" xfId="0" applyFont="1" applyFill="1" applyBorder="1" applyAlignment="1">
      <alignment horizontal="center" vertical="center"/>
    </xf>
    <xf numFmtId="188" fontId="42" fillId="0" borderId="1" xfId="50" applyNumberFormat="1" applyFont="1" applyBorder="1" applyAlignment="1">
      <alignment horizontal="center" vertical="center"/>
    </xf>
    <xf numFmtId="0" fontId="43" fillId="0" borderId="0" xfId="50" applyFont="1" applyAlignment="1">
      <alignment horizontal="center" vertical="center"/>
    </xf>
    <xf numFmtId="186" fontId="43" fillId="0" borderId="0" xfId="50" applyNumberFormat="1" applyFont="1" applyAlignment="1">
      <alignment horizontal="right" vertical="center"/>
    </xf>
    <xf numFmtId="15" fontId="37" fillId="0" borderId="0" xfId="0" applyNumberFormat="1" applyFont="1" applyFill="1" applyAlignment="1">
      <alignment horizontal="center" vertical="center"/>
    </xf>
    <xf numFmtId="15" fontId="37" fillId="0" borderId="0" xfId="0" applyNumberFormat="1" applyFont="1" applyFill="1" applyBorder="1" applyAlignment="1">
      <alignment horizontal="center" vertical="center"/>
    </xf>
    <xf numFmtId="0" fontId="23" fillId="0" borderId="0" xfId="52" applyFont="1">
      <alignment vertical="center"/>
    </xf>
    <xf numFmtId="0" fontId="7" fillId="0" borderId="0" xfId="50" applyFont="1" applyAlignment="1">
      <alignment horizontal="center" vertical="center"/>
    </xf>
    <xf numFmtId="186" fontId="7" fillId="0" borderId="0" xfId="50" applyNumberFormat="1" applyFont="1" applyAlignment="1">
      <alignment horizontal="center" vertical="center"/>
    </xf>
    <xf numFmtId="0" fontId="23" fillId="0" borderId="0" xfId="0" applyFont="1" applyFill="1" applyAlignment="1">
      <alignment horizontal="center" vertical="center" wrapText="1"/>
    </xf>
  </cellXfs>
  <cellStyles count="55">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常规 35 2" xfId="49"/>
    <cellStyle name="常规 2" xfId="50"/>
    <cellStyle name="常规 29" xfId="51"/>
    <cellStyle name="常规 9" xfId="52"/>
    <cellStyle name="Normal 2" xfId="53"/>
    <cellStyle name="Normal 3"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2" Type="http://schemas.openxmlformats.org/officeDocument/2006/relationships/styles" Target="styles.xml"/><Relationship Id="rId81" Type="http://schemas.openxmlformats.org/officeDocument/2006/relationships/sharedStrings" Target="sharedStrings.xml"/><Relationship Id="rId80" Type="http://schemas.openxmlformats.org/officeDocument/2006/relationships/theme" Target="theme/theme1.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1</xdr:row>
      <xdr:rowOff>63500</xdr:rowOff>
    </xdr:to>
    <xdr:pic>
      <xdr:nvPicPr>
        <xdr:cNvPr id="2" name="/xl/media/image1.png"/>
        <xdr:cNvPicPr>
          <a:picLocks noChangeAspect="1"/>
        </xdr:cNvPicPr>
      </xdr:nvPicPr>
      <xdr:blipFill>
        <a:blip r:embed="rId1"/>
        <a:stretch>
          <a:fillRect/>
        </a:stretch>
      </xdr:blipFill>
      <xdr:spPr>
        <a:xfrm>
          <a:off x="0" y="0"/>
          <a:ext cx="744220" cy="36830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12700</xdr:colOff>
      <xdr:row>0</xdr:row>
      <xdr:rowOff>12700</xdr:rowOff>
    </xdr:from>
    <xdr:to>
      <xdr:col>1</xdr:col>
      <xdr:colOff>0</xdr:colOff>
      <xdr:row>2</xdr:row>
      <xdr:rowOff>41275</xdr:rowOff>
    </xdr:to>
    <xdr:pic>
      <xdr:nvPicPr>
        <xdr:cNvPr id="2" name="/xl/media/image1.png"/>
        <xdr:cNvPicPr>
          <a:picLocks noChangeAspect="1"/>
        </xdr:cNvPicPr>
      </xdr:nvPicPr>
      <xdr:blipFill>
        <a:blip r:embed="rId1"/>
        <a:stretch>
          <a:fillRect/>
        </a:stretch>
      </xdr:blipFill>
      <xdr:spPr>
        <a:xfrm>
          <a:off x="12700" y="12700"/>
          <a:ext cx="731520" cy="485775"/>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731520</xdr:colOff>
      <xdr:row>1</xdr:row>
      <xdr:rowOff>191135</xdr:rowOff>
    </xdr:to>
    <xdr:pic>
      <xdr:nvPicPr>
        <xdr:cNvPr id="2" name="/xl/media/image1.png"/>
        <xdr:cNvPicPr>
          <a:picLocks noChangeAspect="1"/>
        </xdr:cNvPicPr>
      </xdr:nvPicPr>
      <xdr:blipFill>
        <a:blip r:embed="rId1"/>
        <a:stretch>
          <a:fillRect/>
        </a:stretch>
      </xdr:blipFill>
      <xdr:spPr>
        <a:xfrm>
          <a:off x="0" y="0"/>
          <a:ext cx="731520" cy="48577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5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53"/>
  <sheetViews>
    <sheetView tabSelected="1" workbookViewId="0">
      <selection activeCell="E31" sqref="E31"/>
    </sheetView>
  </sheetViews>
  <sheetFormatPr defaultColWidth="10" defaultRowHeight="17.6"/>
  <cols>
    <col min="1" max="1" width="6.33653846153846" style="150" customWidth="1"/>
    <col min="2" max="2" width="21" style="150" customWidth="1"/>
    <col min="3" max="3" width="13.9230769230769" style="150" customWidth="1"/>
    <col min="4" max="4" width="15.1538461538462" style="150" customWidth="1"/>
    <col min="5" max="5" width="12.2211538461538" style="150" customWidth="1"/>
    <col min="6" max="6" width="26.6634615384615" style="150" customWidth="1"/>
    <col min="7" max="7" width="43.1057692307692" style="150" customWidth="1"/>
    <col min="8" max="8" width="18.5576923076923" style="150" customWidth="1"/>
    <col min="9" max="9" width="64.3846153846154" style="153" customWidth="1"/>
    <col min="10" max="10" width="16.4711538461538" style="150" hidden="1" customWidth="1"/>
    <col min="11" max="11" width="12.2211538461538" style="150" customWidth="1"/>
    <col min="12" max="12" width="21.6634615384615" style="150" hidden="1" customWidth="1"/>
    <col min="13" max="13" width="21.6634615384615" style="150" customWidth="1"/>
    <col min="14" max="16384" width="10" style="150"/>
  </cols>
  <sheetData>
    <row r="1" s="150" customFormat="1" ht="24.45" customHeight="1" spans="1:13">
      <c r="A1" s="154" t="s">
        <v>0</v>
      </c>
      <c r="B1" s="154"/>
      <c r="C1" s="154"/>
      <c r="D1" s="154"/>
      <c r="E1" s="154"/>
      <c r="F1" s="154"/>
      <c r="G1" s="154"/>
      <c r="H1" s="154"/>
      <c r="I1" s="154"/>
      <c r="J1" s="154"/>
      <c r="K1" s="154"/>
      <c r="L1" s="154"/>
      <c r="M1" s="154"/>
    </row>
    <row r="2" s="150" customFormat="1" ht="25.95" customHeight="1" spans="1:13">
      <c r="A2" s="155"/>
      <c r="B2" s="155"/>
      <c r="C2" s="155"/>
      <c r="D2" s="155"/>
      <c r="E2" s="155"/>
      <c r="F2" s="155"/>
      <c r="G2" s="155"/>
      <c r="H2" s="155"/>
      <c r="I2" s="155"/>
      <c r="J2" s="155"/>
      <c r="K2" s="155"/>
      <c r="L2" s="155"/>
      <c r="M2" s="155"/>
    </row>
    <row r="3" s="150" customFormat="1" ht="31" customHeight="1" spans="1:13">
      <c r="A3" s="156" t="s">
        <v>1</v>
      </c>
      <c r="B3" s="156"/>
      <c r="I3" s="153"/>
      <c r="J3" s="94"/>
      <c r="K3" s="94" t="s">
        <v>2</v>
      </c>
      <c r="L3" s="94"/>
      <c r="M3" s="94"/>
    </row>
    <row r="4" s="150" customFormat="1" ht="21" customHeight="1" spans="1:13">
      <c r="A4" s="157" t="s">
        <v>3</v>
      </c>
      <c r="B4" s="157"/>
      <c r="I4" s="153"/>
      <c r="J4" s="94"/>
      <c r="K4" s="94" t="s">
        <v>4</v>
      </c>
      <c r="L4" s="94"/>
      <c r="M4" s="94"/>
    </row>
    <row r="5" s="150" customFormat="1" ht="28.95" customHeight="1" spans="1:13">
      <c r="A5" s="156" t="s">
        <v>5</v>
      </c>
      <c r="B5" s="156"/>
      <c r="C5" s="158" t="s">
        <v>6</v>
      </c>
      <c r="D5" s="158"/>
      <c r="E5" s="158"/>
      <c r="F5" s="158"/>
      <c r="G5" s="158"/>
      <c r="H5" s="158"/>
      <c r="I5" s="153"/>
    </row>
    <row r="6" s="150" customFormat="1" ht="15.45" customHeight="1" spans="1:13">
      <c r="C6" s="158"/>
      <c r="D6" s="158"/>
      <c r="E6" s="158"/>
      <c r="F6" s="158"/>
      <c r="G6" s="158"/>
      <c r="H6" s="158"/>
    </row>
    <row r="7" s="150" customFormat="1" spans="1:13">
      <c r="A7" s="159" t="s">
        <v>7</v>
      </c>
      <c r="H7" s="152"/>
      <c r="I7" s="160" t="s">
        <v>8</v>
      </c>
      <c r="J7" s="161"/>
      <c r="K7" s="161" t="s">
        <v>9</v>
      </c>
    </row>
    <row r="8" s="150" customFormat="1" ht="18" spans="1:13">
      <c r="A8" s="159" t="s">
        <v>10</v>
      </c>
      <c r="H8" s="152"/>
      <c r="I8" s="162" t="s">
        <v>11</v>
      </c>
      <c r="J8" s="161"/>
      <c r="K8" s="161" t="s">
        <v>12</v>
      </c>
    </row>
    <row r="9" s="150" customFormat="1" spans="1:13">
      <c r="A9" s="159" t="s">
        <v>13</v>
      </c>
      <c r="I9" s="160" t="s">
        <v>14</v>
      </c>
      <c r="J9" s="161"/>
      <c r="K9" s="161" t="s">
        <v>15</v>
      </c>
      <c r="L9" s="161"/>
      <c r="M9" s="161"/>
    </row>
    <row r="10" s="150" customFormat="1" spans="1:13">
      <c r="A10" s="159"/>
      <c r="I10" s="160"/>
      <c r="J10" s="161"/>
      <c r="K10" s="163"/>
      <c r="L10" s="163"/>
      <c r="M10" s="163"/>
    </row>
    <row r="11" s="151" customFormat="1" ht="14.4" spans="1:13">
      <c r="A11" s="164" t="s">
        <v>16</v>
      </c>
      <c r="B11" s="165" t="s">
        <v>17</v>
      </c>
      <c r="C11" s="165" t="s">
        <v>18</v>
      </c>
      <c r="D11" s="165" t="s">
        <v>19</v>
      </c>
      <c r="E11" s="165" t="s">
        <v>20</v>
      </c>
      <c r="F11" s="165" t="s">
        <v>21</v>
      </c>
      <c r="G11" s="165" t="s">
        <v>22</v>
      </c>
      <c r="H11" s="165" t="s">
        <v>23</v>
      </c>
      <c r="I11" s="164" t="s">
        <v>24</v>
      </c>
      <c r="J11" s="164" t="s">
        <v>25</v>
      </c>
      <c r="K11" s="165" t="s">
        <v>26</v>
      </c>
      <c r="L11" s="165" t="s">
        <v>27</v>
      </c>
      <c r="M11" s="165" t="s">
        <v>28</v>
      </c>
    </row>
    <row r="12" s="150" customFormat="1" ht="15.75" customHeight="1" spans="1:13">
      <c r="A12" s="166">
        <v>1</v>
      </c>
      <c r="B12" s="167" t="s">
        <v>29</v>
      </c>
      <c r="C12" s="167" t="s">
        <v>30</v>
      </c>
      <c r="D12" s="167" t="s">
        <v>31</v>
      </c>
      <c r="E12" s="167" t="s">
        <v>32</v>
      </c>
      <c r="F12" s="167" t="s">
        <v>32</v>
      </c>
      <c r="G12" s="167" t="s">
        <v>33</v>
      </c>
      <c r="H12" s="167" t="s">
        <v>34</v>
      </c>
      <c r="I12" s="167" t="s">
        <v>35</v>
      </c>
      <c r="J12" s="167" t="s">
        <v>36</v>
      </c>
      <c r="K12" s="168">
        <f>COUNTA('1装'!B19:B40)</f>
        <v>22</v>
      </c>
      <c r="L12" s="169">
        <f t="shared" ref="L12:L37" si="0">M12+K12*0.003</f>
        <v>30.719</v>
      </c>
      <c r="M12" s="170">
        <f>'1装'!C42/1000</f>
        <v>30.653</v>
      </c>
    </row>
    <row r="13" s="150" customFormat="1" ht="15.75" customHeight="1" spans="1:13">
      <c r="A13" s="166">
        <v>2</v>
      </c>
      <c r="B13" s="167" t="s">
        <v>37</v>
      </c>
      <c r="C13" s="167" t="s">
        <v>38</v>
      </c>
      <c r="D13" s="167" t="s">
        <v>39</v>
      </c>
      <c r="E13" s="167" t="s">
        <v>32</v>
      </c>
      <c r="F13" s="167" t="s">
        <v>32</v>
      </c>
      <c r="G13" s="167" t="s">
        <v>40</v>
      </c>
      <c r="H13" s="167" t="s">
        <v>41</v>
      </c>
      <c r="I13" s="167" t="s">
        <v>35</v>
      </c>
      <c r="J13" s="167" t="s">
        <v>36</v>
      </c>
      <c r="K13" s="168">
        <f>COUNTA('2装'!B19:B44)</f>
        <v>26</v>
      </c>
      <c r="L13" s="169">
        <f t="shared" si="0"/>
        <v>30.65</v>
      </c>
      <c r="M13" s="170">
        <f>'2装'!C46/1000</f>
        <v>30.572</v>
      </c>
    </row>
    <row r="14" s="150" customFormat="1" ht="15.75" customHeight="1" spans="1:13">
      <c r="A14" s="166">
        <v>3</v>
      </c>
      <c r="B14" s="167" t="s">
        <v>42</v>
      </c>
      <c r="C14" s="167" t="s">
        <v>43</v>
      </c>
      <c r="D14" s="167" t="s">
        <v>44</v>
      </c>
      <c r="E14" s="167" t="s">
        <v>32</v>
      </c>
      <c r="F14" s="167" t="s">
        <v>32</v>
      </c>
      <c r="G14" s="167" t="s">
        <v>45</v>
      </c>
      <c r="H14" s="167" t="s">
        <v>46</v>
      </c>
      <c r="I14" s="167" t="s">
        <v>35</v>
      </c>
      <c r="J14" s="167" t="s">
        <v>36</v>
      </c>
      <c r="K14" s="168">
        <f>COUNTA('3装'!B19:B41)</f>
        <v>23</v>
      </c>
      <c r="L14" s="169">
        <f t="shared" si="0"/>
        <v>30.65</v>
      </c>
      <c r="M14" s="170">
        <f>'3装'!C43/1000</f>
        <v>30.581</v>
      </c>
    </row>
    <row r="15" s="150" customFormat="1" ht="15.75" customHeight="1" spans="1:13">
      <c r="A15" s="166">
        <v>4</v>
      </c>
      <c r="B15" s="167" t="s">
        <v>47</v>
      </c>
      <c r="C15" s="167" t="s">
        <v>48</v>
      </c>
      <c r="D15" s="167" t="s">
        <v>49</v>
      </c>
      <c r="E15" s="167" t="s">
        <v>32</v>
      </c>
      <c r="F15" s="167" t="s">
        <v>32</v>
      </c>
      <c r="G15" s="167" t="s">
        <v>50</v>
      </c>
      <c r="H15" s="167" t="s">
        <v>51</v>
      </c>
      <c r="I15" s="167" t="s">
        <v>52</v>
      </c>
      <c r="J15" s="167" t="s">
        <v>36</v>
      </c>
      <c r="K15" s="168">
        <f>COUNTA('4装'!B19:B39)</f>
        <v>21</v>
      </c>
      <c r="L15" s="169">
        <f t="shared" si="0"/>
        <v>30.65</v>
      </c>
      <c r="M15" s="170">
        <f>'4装'!C41/1000</f>
        <v>30.587</v>
      </c>
    </row>
    <row r="16" s="150" customFormat="1" ht="15.75" customHeight="1" spans="1:13">
      <c r="A16" s="166">
        <v>5</v>
      </c>
      <c r="B16" s="167" t="s">
        <v>53</v>
      </c>
      <c r="C16" s="167" t="s">
        <v>54</v>
      </c>
      <c r="D16" s="167" t="s">
        <v>55</v>
      </c>
      <c r="E16" s="167" t="s">
        <v>32</v>
      </c>
      <c r="F16" s="167" t="s">
        <v>32</v>
      </c>
      <c r="G16" s="167" t="s">
        <v>56</v>
      </c>
      <c r="H16" s="167" t="s">
        <v>57</v>
      </c>
      <c r="I16" s="167" t="s">
        <v>52</v>
      </c>
      <c r="J16" s="167" t="s">
        <v>36</v>
      </c>
      <c r="K16" s="168">
        <f>COUNTA('5装'!B19:B38)</f>
        <v>20</v>
      </c>
      <c r="L16" s="169">
        <f t="shared" si="0"/>
        <v>29.596</v>
      </c>
      <c r="M16" s="170">
        <f>'5装'!C40/1000</f>
        <v>29.536</v>
      </c>
    </row>
    <row r="17" s="150" customFormat="1" ht="15.75" customHeight="1" spans="1:13">
      <c r="A17" s="166">
        <v>6</v>
      </c>
      <c r="B17" s="167" t="s">
        <v>58</v>
      </c>
      <c r="C17" s="167" t="s">
        <v>59</v>
      </c>
      <c r="D17" s="167" t="s">
        <v>60</v>
      </c>
      <c r="E17" s="167" t="s">
        <v>32</v>
      </c>
      <c r="F17" s="167" t="s">
        <v>32</v>
      </c>
      <c r="G17" s="167" t="s">
        <v>61</v>
      </c>
      <c r="H17" s="167" t="s">
        <v>62</v>
      </c>
      <c r="I17" s="167" t="s">
        <v>52</v>
      </c>
      <c r="J17" s="167" t="s">
        <v>36</v>
      </c>
      <c r="K17" s="167">
        <f>COUNTA('6装'!B19:B40)</f>
        <v>22</v>
      </c>
      <c r="L17" s="169">
        <f t="shared" si="0"/>
        <v>31.693</v>
      </c>
      <c r="M17" s="169">
        <f>'6装'!C42/1000</f>
        <v>31.627</v>
      </c>
    </row>
    <row r="18" s="150" customFormat="1" ht="15.75" customHeight="1" spans="1:13">
      <c r="A18" s="166">
        <v>7</v>
      </c>
      <c r="B18" s="167" t="s">
        <v>63</v>
      </c>
      <c r="C18" s="167" t="s">
        <v>64</v>
      </c>
      <c r="D18" s="167" t="s">
        <v>65</v>
      </c>
      <c r="E18" s="167" t="s">
        <v>66</v>
      </c>
      <c r="F18" s="167" t="s">
        <v>32</v>
      </c>
      <c r="G18" s="167" t="s">
        <v>67</v>
      </c>
      <c r="H18" s="167" t="s">
        <v>68</v>
      </c>
      <c r="I18" s="167" t="s">
        <v>69</v>
      </c>
      <c r="J18" s="167" t="s">
        <v>70</v>
      </c>
      <c r="K18" s="167">
        <f>COUNTA('7装'!B19:B42)</f>
        <v>24</v>
      </c>
      <c r="L18" s="169">
        <f t="shared" si="0"/>
        <v>33.655</v>
      </c>
      <c r="M18" s="169">
        <f>'7装'!C44/1000</f>
        <v>33.583</v>
      </c>
    </row>
    <row r="19" s="150" customFormat="1" ht="15.75" customHeight="1" spans="1:13">
      <c r="A19" s="166">
        <v>8</v>
      </c>
      <c r="B19" s="167" t="s">
        <v>71</v>
      </c>
      <c r="C19" s="167" t="s">
        <v>72</v>
      </c>
      <c r="D19" s="167" t="s">
        <v>73</v>
      </c>
      <c r="E19" s="167" t="s">
        <v>74</v>
      </c>
      <c r="F19" s="167" t="s">
        <v>32</v>
      </c>
      <c r="G19" s="167" t="s">
        <v>75</v>
      </c>
      <c r="H19" s="167" t="s">
        <v>76</v>
      </c>
      <c r="I19" s="167" t="s">
        <v>69</v>
      </c>
      <c r="J19" s="167" t="s">
        <v>70</v>
      </c>
      <c r="K19" s="167">
        <f>COUNTA('8装'!B19:B42)</f>
        <v>24</v>
      </c>
      <c r="L19" s="169">
        <f t="shared" si="0"/>
        <v>33.648</v>
      </c>
      <c r="M19" s="169">
        <f>'8装'!C44/1000</f>
        <v>33.576</v>
      </c>
    </row>
    <row r="20" s="150" customFormat="1" ht="15.75" customHeight="1" spans="1:13">
      <c r="A20" s="166">
        <v>9</v>
      </c>
      <c r="B20" s="167" t="s">
        <v>77</v>
      </c>
      <c r="C20" s="167" t="s">
        <v>78</v>
      </c>
      <c r="D20" s="167" t="s">
        <v>79</v>
      </c>
      <c r="E20" s="167" t="s">
        <v>80</v>
      </c>
      <c r="F20" s="167" t="s">
        <v>32</v>
      </c>
      <c r="G20" s="167" t="s">
        <v>81</v>
      </c>
      <c r="H20" s="167" t="s">
        <v>82</v>
      </c>
      <c r="I20" s="167" t="s">
        <v>83</v>
      </c>
      <c r="J20" s="167" t="s">
        <v>36</v>
      </c>
      <c r="K20" s="167">
        <f>COUNTA('9装'!B19:B42)</f>
        <v>24</v>
      </c>
      <c r="L20" s="169">
        <f t="shared" si="0"/>
        <v>33.833</v>
      </c>
      <c r="M20" s="169">
        <f>'9装'!C44/1000</f>
        <v>33.761</v>
      </c>
    </row>
    <row r="21" s="150" customFormat="1" ht="15.75" customHeight="1" spans="1:13">
      <c r="A21" s="166">
        <v>10</v>
      </c>
      <c r="B21" s="167" t="s">
        <v>84</v>
      </c>
      <c r="C21" s="167" t="s">
        <v>85</v>
      </c>
      <c r="D21" s="167" t="s">
        <v>86</v>
      </c>
      <c r="E21" s="167" t="s">
        <v>87</v>
      </c>
      <c r="F21" s="167" t="s">
        <v>32</v>
      </c>
      <c r="G21" s="167" t="s">
        <v>88</v>
      </c>
      <c r="H21" s="167" t="s">
        <v>89</v>
      </c>
      <c r="I21" s="167" t="s">
        <v>83</v>
      </c>
      <c r="J21" s="167" t="s">
        <v>36</v>
      </c>
      <c r="K21" s="167">
        <f>COUNTA('10装'!B19:B43)</f>
        <v>25</v>
      </c>
      <c r="L21" s="169">
        <f t="shared" si="0"/>
        <v>34.625</v>
      </c>
      <c r="M21" s="169">
        <f>'10装'!C45/1000</f>
        <v>34.55</v>
      </c>
    </row>
    <row r="22" s="150" customFormat="1" ht="15.75" customHeight="1" spans="1:13">
      <c r="A22" s="166">
        <v>11</v>
      </c>
      <c r="B22" s="167" t="s">
        <v>90</v>
      </c>
      <c r="C22" s="167" t="s">
        <v>91</v>
      </c>
      <c r="D22" s="167" t="s">
        <v>92</v>
      </c>
      <c r="E22" s="167" t="s">
        <v>93</v>
      </c>
      <c r="F22" s="167" t="s">
        <v>32</v>
      </c>
      <c r="G22" s="167" t="s">
        <v>94</v>
      </c>
      <c r="H22" s="167" t="s">
        <v>95</v>
      </c>
      <c r="I22" s="167" t="s">
        <v>83</v>
      </c>
      <c r="J22" s="167" t="s">
        <v>36</v>
      </c>
      <c r="K22" s="167">
        <f>COUNTA('11装'!B19:B43)</f>
        <v>25</v>
      </c>
      <c r="L22" s="169">
        <f t="shared" si="0"/>
        <v>34.678</v>
      </c>
      <c r="M22" s="169">
        <f>'11装'!C45/1000</f>
        <v>34.603</v>
      </c>
    </row>
    <row r="23" s="150" customFormat="1" ht="15.75" customHeight="1" spans="1:13">
      <c r="A23" s="166">
        <v>12</v>
      </c>
      <c r="B23" s="167" t="s">
        <v>96</v>
      </c>
      <c r="C23" s="167" t="s">
        <v>97</v>
      </c>
      <c r="D23" s="167" t="s">
        <v>98</v>
      </c>
      <c r="E23" s="167" t="s">
        <v>99</v>
      </c>
      <c r="F23" s="167" t="s">
        <v>32</v>
      </c>
      <c r="G23" s="167" t="s">
        <v>100</v>
      </c>
      <c r="H23" s="167" t="s">
        <v>101</v>
      </c>
      <c r="I23" s="167" t="s">
        <v>83</v>
      </c>
      <c r="J23" s="167" t="s">
        <v>36</v>
      </c>
      <c r="K23" s="167">
        <f>COUNTA('12装'!B19:B42)</f>
        <v>24</v>
      </c>
      <c r="L23" s="169">
        <f t="shared" si="0"/>
        <v>33.815</v>
      </c>
      <c r="M23" s="169">
        <f>'12装'!C44/1000</f>
        <v>33.743</v>
      </c>
    </row>
    <row r="24" s="150" customFormat="1" ht="15.75" customHeight="1" spans="1:13">
      <c r="A24" s="166">
        <v>13</v>
      </c>
      <c r="B24" s="167" t="s">
        <v>102</v>
      </c>
      <c r="C24" s="167" t="s">
        <v>103</v>
      </c>
      <c r="D24" s="167" t="s">
        <v>104</v>
      </c>
      <c r="E24" s="167" t="s">
        <v>105</v>
      </c>
      <c r="F24" s="167" t="s">
        <v>32</v>
      </c>
      <c r="G24" s="167" t="s">
        <v>106</v>
      </c>
      <c r="H24" s="167" t="s">
        <v>107</v>
      </c>
      <c r="I24" s="167" t="s">
        <v>83</v>
      </c>
      <c r="J24" s="167" t="s">
        <v>36</v>
      </c>
      <c r="K24" s="167">
        <f>COUNTA('13装'!B19:B42)</f>
        <v>24</v>
      </c>
      <c r="L24" s="169">
        <f t="shared" si="0"/>
        <v>33.666</v>
      </c>
      <c r="M24" s="169">
        <f>'13装'!C44/1000</f>
        <v>33.594</v>
      </c>
    </row>
    <row r="25" s="150" customFormat="1" ht="15.75" customHeight="1" spans="1:13">
      <c r="A25" s="166">
        <v>14</v>
      </c>
      <c r="B25" s="167" t="s">
        <v>108</v>
      </c>
      <c r="C25" s="167" t="s">
        <v>109</v>
      </c>
      <c r="D25" s="167" t="s">
        <v>110</v>
      </c>
      <c r="E25" s="167" t="s">
        <v>111</v>
      </c>
      <c r="F25" s="167" t="s">
        <v>32</v>
      </c>
      <c r="G25" s="167" t="s">
        <v>112</v>
      </c>
      <c r="H25" s="167" t="s">
        <v>113</v>
      </c>
      <c r="I25" s="167" t="s">
        <v>83</v>
      </c>
      <c r="J25" s="167" t="s">
        <v>36</v>
      </c>
      <c r="K25" s="167">
        <f>COUNTA('14装'!B19:B43)</f>
        <v>25</v>
      </c>
      <c r="L25" s="169">
        <f t="shared" si="0"/>
        <v>33.939</v>
      </c>
      <c r="M25" s="169">
        <f>'14装'!C45/1000</f>
        <v>33.864</v>
      </c>
    </row>
    <row r="26" s="150" customFormat="1" ht="15.75" customHeight="1" spans="1:13">
      <c r="A26" s="166">
        <v>15</v>
      </c>
      <c r="B26" s="167" t="s">
        <v>114</v>
      </c>
      <c r="C26" s="167" t="s">
        <v>115</v>
      </c>
      <c r="D26" s="167" t="s">
        <v>116</v>
      </c>
      <c r="E26" s="167" t="s">
        <v>117</v>
      </c>
      <c r="F26" s="167" t="s">
        <v>32</v>
      </c>
      <c r="G26" s="167" t="s">
        <v>118</v>
      </c>
      <c r="H26" s="167" t="s">
        <v>119</v>
      </c>
      <c r="I26" s="167" t="s">
        <v>83</v>
      </c>
      <c r="J26" s="167" t="s">
        <v>36</v>
      </c>
      <c r="K26" s="167">
        <f>COUNTA('15装'!B19:B41)</f>
        <v>23</v>
      </c>
      <c r="L26" s="169">
        <f t="shared" si="0"/>
        <v>33.893</v>
      </c>
      <c r="M26" s="169">
        <f>'15装'!C43/1000</f>
        <v>33.824</v>
      </c>
    </row>
    <row r="27" s="150" customFormat="1" ht="15.75" customHeight="1" spans="1:13">
      <c r="A27" s="166">
        <v>16</v>
      </c>
      <c r="B27" s="167" t="s">
        <v>120</v>
      </c>
      <c r="C27" s="167" t="s">
        <v>121</v>
      </c>
      <c r="D27" s="167" t="s">
        <v>122</v>
      </c>
      <c r="E27" s="167" t="s">
        <v>123</v>
      </c>
      <c r="F27" s="167" t="s">
        <v>32</v>
      </c>
      <c r="G27" s="167" t="s">
        <v>124</v>
      </c>
      <c r="H27" s="167" t="s">
        <v>125</v>
      </c>
      <c r="I27" s="167" t="s">
        <v>83</v>
      </c>
      <c r="J27" s="167" t="s">
        <v>36</v>
      </c>
      <c r="K27" s="167">
        <f>COUNTA('16装'!B19:B42)</f>
        <v>24</v>
      </c>
      <c r="L27" s="169">
        <f t="shared" si="0"/>
        <v>34.074</v>
      </c>
      <c r="M27" s="169">
        <f>'16装'!C44/1000</f>
        <v>34.002</v>
      </c>
    </row>
    <row r="28" s="150" customFormat="1" ht="15.75" customHeight="1" spans="1:13">
      <c r="A28" s="166">
        <v>17</v>
      </c>
      <c r="B28" s="167" t="s">
        <v>126</v>
      </c>
      <c r="C28" s="167" t="s">
        <v>127</v>
      </c>
      <c r="D28" s="167" t="s">
        <v>128</v>
      </c>
      <c r="E28" s="167" t="s">
        <v>32</v>
      </c>
      <c r="F28" s="167" t="s">
        <v>32</v>
      </c>
      <c r="G28" s="167" t="s">
        <v>129</v>
      </c>
      <c r="H28" s="167" t="s">
        <v>130</v>
      </c>
      <c r="I28" s="167" t="s">
        <v>83</v>
      </c>
      <c r="J28" s="167" t="s">
        <v>36</v>
      </c>
      <c r="K28" s="167">
        <f>COUNTA('17装'!B19:B40)</f>
        <v>22</v>
      </c>
      <c r="L28" s="169">
        <f t="shared" si="0"/>
        <v>29.65</v>
      </c>
      <c r="M28" s="169">
        <f>'17装'!C42/1000</f>
        <v>29.584</v>
      </c>
    </row>
    <row r="29" s="150" customFormat="1" ht="15.75" customHeight="1" spans="1:13">
      <c r="A29" s="166">
        <v>18</v>
      </c>
      <c r="B29" s="167" t="s">
        <v>131</v>
      </c>
      <c r="C29" s="167" t="s">
        <v>132</v>
      </c>
      <c r="D29" s="167" t="s">
        <v>133</v>
      </c>
      <c r="E29" s="167" t="s">
        <v>134</v>
      </c>
      <c r="F29" s="167" t="s">
        <v>32</v>
      </c>
      <c r="G29" s="167" t="s">
        <v>135</v>
      </c>
      <c r="H29" s="167" t="s">
        <v>136</v>
      </c>
      <c r="I29" s="167" t="s">
        <v>83</v>
      </c>
      <c r="J29" s="167" t="s">
        <v>36</v>
      </c>
      <c r="K29" s="167">
        <f>COUNTA('18装'!B19:B41)</f>
        <v>23</v>
      </c>
      <c r="L29" s="169">
        <f t="shared" si="0"/>
        <v>33.73</v>
      </c>
      <c r="M29" s="169">
        <f>'18装'!C43/1000</f>
        <v>33.661</v>
      </c>
    </row>
    <row r="30" s="150" customFormat="1" ht="15.75" customHeight="1" spans="1:13">
      <c r="A30" s="166">
        <v>19</v>
      </c>
      <c r="B30" s="167" t="s">
        <v>137</v>
      </c>
      <c r="C30" s="167" t="s">
        <v>138</v>
      </c>
      <c r="D30" s="167" t="s">
        <v>139</v>
      </c>
      <c r="E30" s="167" t="s">
        <v>32</v>
      </c>
      <c r="F30" s="167" t="s">
        <v>32</v>
      </c>
      <c r="G30" s="167" t="s">
        <v>140</v>
      </c>
      <c r="H30" s="167" t="s">
        <v>141</v>
      </c>
      <c r="I30" s="167" t="s">
        <v>52</v>
      </c>
      <c r="J30" s="167" t="s">
        <v>36</v>
      </c>
      <c r="K30" s="167">
        <f>COUNTA('19装'!B19:B41)</f>
        <v>23</v>
      </c>
      <c r="L30" s="169">
        <f t="shared" si="0"/>
        <v>32.548</v>
      </c>
      <c r="M30" s="169">
        <f>'19装'!C43/1000</f>
        <v>32.479</v>
      </c>
    </row>
    <row r="31" s="150" customFormat="1" ht="15.75" customHeight="1" spans="1:13">
      <c r="A31" s="166">
        <v>20</v>
      </c>
      <c r="B31" s="167" t="s">
        <v>142</v>
      </c>
      <c r="C31" s="167" t="s">
        <v>143</v>
      </c>
      <c r="D31" s="167" t="s">
        <v>143</v>
      </c>
      <c r="E31" s="167" t="s">
        <v>144</v>
      </c>
      <c r="F31" s="167" t="s">
        <v>32</v>
      </c>
      <c r="G31" s="167" t="s">
        <v>145</v>
      </c>
      <c r="H31" s="167" t="s">
        <v>146</v>
      </c>
      <c r="I31" s="167" t="s">
        <v>147</v>
      </c>
      <c r="J31" s="167" t="s">
        <v>36</v>
      </c>
      <c r="K31" s="167">
        <f>COUNTA('20装'!B19:B42)</f>
        <v>24</v>
      </c>
      <c r="L31" s="169">
        <f t="shared" si="0"/>
        <v>33.754</v>
      </c>
      <c r="M31" s="169">
        <f>'20装'!C44/1000</f>
        <v>33.682</v>
      </c>
    </row>
    <row r="32" s="150" customFormat="1" ht="15.75" customHeight="1" spans="1:13">
      <c r="A32" s="166">
        <v>21</v>
      </c>
      <c r="B32" s="167" t="s">
        <v>148</v>
      </c>
      <c r="C32" s="167" t="s">
        <v>149</v>
      </c>
      <c r="D32" s="167" t="s">
        <v>150</v>
      </c>
      <c r="E32" s="167" t="s">
        <v>32</v>
      </c>
      <c r="F32" s="167" t="s">
        <v>32</v>
      </c>
      <c r="G32" s="167" t="s">
        <v>151</v>
      </c>
      <c r="H32" s="167" t="s">
        <v>152</v>
      </c>
      <c r="I32" s="167" t="s">
        <v>35</v>
      </c>
      <c r="J32" s="167" t="s">
        <v>36</v>
      </c>
      <c r="K32" s="167">
        <f>COUNTA('21装'!B19:B40)</f>
        <v>22</v>
      </c>
      <c r="L32" s="169">
        <f t="shared" si="0"/>
        <v>30.65</v>
      </c>
      <c r="M32" s="169">
        <f>'21装'!C42/1000</f>
        <v>30.584</v>
      </c>
    </row>
    <row r="33" s="150" customFormat="1" ht="15.75" customHeight="1" spans="1:13">
      <c r="A33" s="166">
        <v>22</v>
      </c>
      <c r="B33" s="167" t="s">
        <v>153</v>
      </c>
      <c r="C33" s="167" t="s">
        <v>154</v>
      </c>
      <c r="D33" s="167" t="s">
        <v>155</v>
      </c>
      <c r="E33" s="167" t="s">
        <v>156</v>
      </c>
      <c r="F33" s="167" t="s">
        <v>32</v>
      </c>
      <c r="G33" s="167" t="s">
        <v>157</v>
      </c>
      <c r="H33" s="167" t="s">
        <v>158</v>
      </c>
      <c r="I33" s="167" t="s">
        <v>83</v>
      </c>
      <c r="J33" s="167" t="s">
        <v>36</v>
      </c>
      <c r="K33" s="167">
        <f>COUNTA('22装'!B19:B43)</f>
        <v>25</v>
      </c>
      <c r="L33" s="169">
        <f t="shared" si="0"/>
        <v>33.827</v>
      </c>
      <c r="M33" s="169">
        <f>'22装'!C45/1000</f>
        <v>33.752</v>
      </c>
    </row>
    <row r="34" s="150" customFormat="1" ht="15.75" customHeight="1" spans="1:13">
      <c r="A34" s="166">
        <v>23</v>
      </c>
      <c r="B34" s="167" t="s">
        <v>159</v>
      </c>
      <c r="C34" s="167" t="s">
        <v>160</v>
      </c>
      <c r="D34" s="167" t="s">
        <v>161</v>
      </c>
      <c r="E34" s="167" t="s">
        <v>162</v>
      </c>
      <c r="F34" s="167" t="s">
        <v>32</v>
      </c>
      <c r="G34" s="167" t="s">
        <v>163</v>
      </c>
      <c r="H34" s="167" t="s">
        <v>164</v>
      </c>
      <c r="I34" s="167" t="s">
        <v>83</v>
      </c>
      <c r="J34" s="167" t="s">
        <v>36</v>
      </c>
      <c r="K34" s="167">
        <f>COUNTA('23装'!B19:B42)</f>
        <v>24</v>
      </c>
      <c r="L34" s="169">
        <f t="shared" si="0"/>
        <v>34.762</v>
      </c>
      <c r="M34" s="169">
        <f>'23装'!C44/1000</f>
        <v>34.69</v>
      </c>
    </row>
    <row r="35" s="150" customFormat="1" ht="15.75" customHeight="1" spans="1:13">
      <c r="A35" s="166">
        <v>24</v>
      </c>
      <c r="B35" s="167" t="s">
        <v>165</v>
      </c>
      <c r="C35" s="167" t="s">
        <v>166</v>
      </c>
      <c r="D35" s="167" t="s">
        <v>167</v>
      </c>
      <c r="E35" s="167" t="s">
        <v>168</v>
      </c>
      <c r="F35" s="167" t="s">
        <v>32</v>
      </c>
      <c r="G35" s="167" t="s">
        <v>169</v>
      </c>
      <c r="H35" s="167" t="s">
        <v>170</v>
      </c>
      <c r="I35" s="167" t="s">
        <v>83</v>
      </c>
      <c r="J35" s="167" t="s">
        <v>36</v>
      </c>
      <c r="K35" s="167">
        <f>COUNTA('24装'!B19:B41)</f>
        <v>23</v>
      </c>
      <c r="L35" s="169">
        <f t="shared" si="0"/>
        <v>34.339</v>
      </c>
      <c r="M35" s="169">
        <f>'24装'!C43/1000</f>
        <v>34.27</v>
      </c>
    </row>
    <row r="36" s="150" customFormat="1" ht="15.75" customHeight="1" spans="1:13">
      <c r="A36" s="166">
        <v>25</v>
      </c>
      <c r="B36" s="167" t="s">
        <v>171</v>
      </c>
      <c r="C36" s="167" t="s">
        <v>172</v>
      </c>
      <c r="D36" s="167" t="s">
        <v>173</v>
      </c>
      <c r="E36" s="167" t="s">
        <v>174</v>
      </c>
      <c r="F36" s="167" t="s">
        <v>32</v>
      </c>
      <c r="G36" s="167" t="s">
        <v>175</v>
      </c>
      <c r="H36" s="167" t="s">
        <v>176</v>
      </c>
      <c r="I36" s="167" t="s">
        <v>83</v>
      </c>
      <c r="J36" s="167" t="s">
        <v>36</v>
      </c>
      <c r="K36" s="167">
        <f>COUNTA('25装'!B19:B43)</f>
        <v>25</v>
      </c>
      <c r="L36" s="169">
        <f t="shared" si="0"/>
        <v>34.727</v>
      </c>
      <c r="M36" s="169">
        <f>'25装'!C45/1000</f>
        <v>34.652</v>
      </c>
    </row>
    <row r="37" s="150" customFormat="1" ht="15.75" customHeight="1" spans="1:13">
      <c r="A37" s="166">
        <v>26</v>
      </c>
      <c r="B37" s="167" t="s">
        <v>177</v>
      </c>
      <c r="C37" s="167" t="s">
        <v>178</v>
      </c>
      <c r="D37" s="167" t="s">
        <v>179</v>
      </c>
      <c r="E37" s="167" t="s">
        <v>32</v>
      </c>
      <c r="F37" s="167" t="s">
        <v>32</v>
      </c>
      <c r="G37" s="167" t="s">
        <v>180</v>
      </c>
      <c r="H37" s="167" t="s">
        <v>181</v>
      </c>
      <c r="I37" s="167" t="s">
        <v>52</v>
      </c>
      <c r="J37" s="167" t="s">
        <v>36</v>
      </c>
      <c r="K37" s="167">
        <f>COUNTA('26装'!B19:B39)</f>
        <v>21</v>
      </c>
      <c r="L37" s="169">
        <f t="shared" si="0"/>
        <v>30.648</v>
      </c>
      <c r="M37" s="169">
        <f>'26装'!C41/1000</f>
        <v>30.585</v>
      </c>
    </row>
    <row r="38" s="150" customFormat="1" ht="15.75" customHeight="1" spans="1:13">
      <c r="A38" s="166"/>
      <c r="B38" s="171"/>
      <c r="C38" s="166"/>
      <c r="D38" s="172"/>
      <c r="E38" s="173"/>
      <c r="F38" s="167"/>
      <c r="G38" s="172"/>
      <c r="H38" s="172"/>
      <c r="I38" s="174" t="s">
        <v>182</v>
      </c>
      <c r="J38" s="175"/>
      <c r="K38" s="175">
        <f>SUM(K12:K37)</f>
        <v>608</v>
      </c>
      <c r="L38" s="169">
        <f>SUM(L12:L37)</f>
        <v>852.419</v>
      </c>
      <c r="M38" s="169">
        <f>SUM(M12:M37)</f>
        <v>850.595</v>
      </c>
    </row>
    <row r="39" s="150" customFormat="1" spans="1:13">
      <c r="A39"/>
      <c r="B39"/>
      <c r="C39"/>
      <c r="D39"/>
      <c r="E39"/>
      <c r="F39"/>
      <c r="G39"/>
      <c r="H39"/>
      <c r="I39" s="153"/>
      <c r="J39"/>
      <c r="K39"/>
      <c r="L39"/>
      <c r="M39"/>
    </row>
    <row r="40" s="150" customFormat="1" spans="1:13">
      <c r="A40"/>
      <c r="B40"/>
      <c r="C40"/>
      <c r="D40"/>
      <c r="E40"/>
      <c r="F40"/>
      <c r="G40"/>
      <c r="H40"/>
      <c r="I40" s="153"/>
      <c r="J40"/>
      <c r="K40"/>
      <c r="L40"/>
      <c r="M40"/>
    </row>
    <row r="41" s="152" customFormat="1" spans="1:13">
      <c r="A41"/>
      <c r="B41" t="s">
        <v>183</v>
      </c>
      <c r="C41"/>
      <c r="D41"/>
      <c r="E41" s="176"/>
      <c r="F41" s="176"/>
      <c r="G41" s="176"/>
      <c r="H41" s="176"/>
      <c r="I41" s="177" t="s">
        <v>184</v>
      </c>
      <c r="J41" s="177"/>
      <c r="K41" s="177"/>
      <c r="L41" s="178"/>
      <c r="M41" s="179">
        <v>46276</v>
      </c>
    </row>
    <row r="42" s="150" customFormat="1" spans="1:13">
      <c r="E42" s="180"/>
      <c r="F42" s="181"/>
      <c r="G42" s="180"/>
      <c r="H42" s="181"/>
      <c r="I42" s="182"/>
    </row>
    <row r="50" spans="1:13">
      <c r="A50"/>
      <c r="B50"/>
      <c r="C50"/>
      <c r="D50"/>
      <c r="E50"/>
      <c r="F50"/>
      <c r="G50"/>
      <c r="H50"/>
      <c r="I50"/>
      <c r="J50"/>
      <c r="K50"/>
      <c r="L50"/>
      <c r="M50"/>
    </row>
    <row r="51" spans="1:13">
      <c r="A51"/>
      <c r="B51"/>
      <c r="C51"/>
      <c r="D51"/>
      <c r="E51"/>
      <c r="F51"/>
      <c r="G51"/>
      <c r="H51"/>
      <c r="I51"/>
      <c r="J51"/>
      <c r="K51"/>
      <c r="L51"/>
      <c r="M51"/>
    </row>
    <row r="52" spans="1:13">
      <c r="A52"/>
      <c r="B52"/>
      <c r="C52"/>
      <c r="D52" s="183"/>
      <c r="E52"/>
      <c r="F52"/>
      <c r="G52"/>
      <c r="H52"/>
      <c r="I52"/>
      <c r="J52"/>
      <c r="K52"/>
      <c r="L52"/>
      <c r="M52"/>
    </row>
    <row r="53" spans="1:13">
      <c r="A53"/>
      <c r="B53"/>
      <c r="C53"/>
      <c r="D53"/>
      <c r="E53"/>
      <c r="F53"/>
      <c r="G53"/>
      <c r="H53"/>
      <c r="I53"/>
      <c r="J53"/>
      <c r="K53"/>
      <c r="L53"/>
      <c r="M53"/>
    </row>
  </sheetData>
  <mergeCells count="9">
    <mergeCell ref="A3:B3"/>
    <mergeCell ref="K3:M3"/>
    <mergeCell ref="A4:B4"/>
    <mergeCell ref="K4:M4"/>
    <mergeCell ref="A5:B5"/>
    <mergeCell ref="K9:M9"/>
    <mergeCell ref="I41:K41"/>
    <mergeCell ref="C5:H6"/>
    <mergeCell ref="A1:M2"/>
  </mergeCells>
  <pageMargins left="0.7" right="0.7" top="0.75" bottom="0.75" header="0.3" footer="0.3"/>
  <pageSetup paperSize="9" scale="5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9"/>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89" t="s">
        <v>185</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BP!B12</f>
        <v>EX202609-0506</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IF(BP!C12="","",BP!C12)</f>
        <v>T641EKD</v>
      </c>
      <c r="D10" s="91"/>
    </row>
    <row r="11" s="41" customFormat="1" spans="1:4">
      <c r="A11" s="91" t="s">
        <v>194</v>
      </c>
      <c r="B11" s="98" t="str">
        <f>IF(BP!D12="","",BP!D12)</f>
        <v>T560EKD</v>
      </c>
      <c r="C11" s="93" t="s">
        <v>195</v>
      </c>
      <c r="D11" s="94" t="str">
        <f>IF(BP!E12="","",BP!E12)</f>
        <v>NA</v>
      </c>
    </row>
    <row r="12" s="41" customFormat="1" spans="1:4">
      <c r="A12" s="91" t="s">
        <v>196</v>
      </c>
      <c r="B12" s="98" t="str">
        <f>IF(BP!G12="","",BP!G12)</f>
        <v>OMARY HAMISI</v>
      </c>
      <c r="C12" s="99" t="s">
        <v>197</v>
      </c>
      <c r="D12" s="91" t="str">
        <f>IF(BP!H12="","",BP!H12)</f>
        <v>AB02109553</v>
      </c>
    </row>
    <row r="13" s="41" customFormat="1" spans="1:4">
      <c r="A13" s="91" t="s">
        <v>198</v>
      </c>
      <c r="B13" s="91"/>
      <c r="C13" s="100"/>
      <c r="D13" s="100"/>
    </row>
    <row r="14" s="41" customFormat="1" ht="15" customHeight="1" spans="1:4">
      <c r="A14" s="91" t="s">
        <v>199</v>
      </c>
      <c r="B14" s="94" t="str">
        <f>IF(BP!I12="","",BP!I12)</f>
        <v>VAN MO COMPANY LIMITED</v>
      </c>
      <c r="C14" s="100"/>
      <c r="D14" s="100"/>
    </row>
    <row r="15" s="41" customFormat="1" ht="15" customHeight="1" spans="1:4">
      <c r="A15" s="95" t="s">
        <v>200</v>
      </c>
      <c r="B15" s="101" t="s">
        <v>201</v>
      </c>
      <c r="C15" s="102"/>
      <c r="D15" s="102"/>
    </row>
    <row r="16" s="41" customFormat="1" ht="15" customHeight="1" spans="1:4">
      <c r="A16" s="95" t="s">
        <v>202</v>
      </c>
      <c r="B16" s="101" t="str">
        <f>IF(BP!J12="","",BP!J12)</f>
        <v>Dar es Salaam</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207</v>
      </c>
      <c r="C19" s="111">
        <v>1333</v>
      </c>
      <c r="D19" s="112" t="s">
        <v>208</v>
      </c>
    </row>
    <row r="20" s="41" customFormat="1" ht="15" customHeight="1" spans="1:4">
      <c r="A20" s="109">
        <v>2</v>
      </c>
      <c r="B20" s="111" t="s">
        <v>209</v>
      </c>
      <c r="C20" s="111">
        <v>1402</v>
      </c>
      <c r="D20" s="112" t="s">
        <v>210</v>
      </c>
    </row>
    <row r="21" s="41" customFormat="1" ht="15" customHeight="1" spans="1:4">
      <c r="A21" s="109">
        <v>3</v>
      </c>
      <c r="B21" s="111" t="s">
        <v>211</v>
      </c>
      <c r="C21" s="111">
        <v>1381</v>
      </c>
      <c r="D21" s="112" t="s">
        <v>212</v>
      </c>
    </row>
    <row r="22" s="41" customFormat="1" ht="15" customHeight="1" spans="1:4">
      <c r="A22" s="109">
        <v>4</v>
      </c>
      <c r="B22" s="111" t="s">
        <v>213</v>
      </c>
      <c r="C22" s="111">
        <v>1386</v>
      </c>
      <c r="D22" s="112" t="s">
        <v>214</v>
      </c>
    </row>
    <row r="23" s="41" customFormat="1" ht="15" customHeight="1" spans="1:4">
      <c r="A23" s="109">
        <v>5</v>
      </c>
      <c r="B23" s="111" t="s">
        <v>215</v>
      </c>
      <c r="C23" s="111">
        <v>1400</v>
      </c>
      <c r="D23" s="112" t="s">
        <v>216</v>
      </c>
    </row>
    <row r="24" s="41" customFormat="1" ht="15" customHeight="1" spans="1:4">
      <c r="A24" s="109">
        <v>6</v>
      </c>
      <c r="B24" s="111" t="s">
        <v>217</v>
      </c>
      <c r="C24" s="111">
        <v>1438</v>
      </c>
      <c r="D24" s="112" t="s">
        <v>218</v>
      </c>
    </row>
    <row r="25" s="41" customFormat="1" ht="15" customHeight="1" spans="1:4">
      <c r="A25" s="109">
        <v>7</v>
      </c>
      <c r="B25" s="111" t="s">
        <v>219</v>
      </c>
      <c r="C25" s="111">
        <v>1448</v>
      </c>
      <c r="D25" s="112" t="s">
        <v>220</v>
      </c>
    </row>
    <row r="26" s="41" customFormat="1" ht="15" customHeight="1" spans="1:4">
      <c r="A26" s="109">
        <v>8</v>
      </c>
      <c r="B26" s="111" t="s">
        <v>221</v>
      </c>
      <c r="C26" s="111">
        <v>1359</v>
      </c>
      <c r="D26" s="112" t="s">
        <v>222</v>
      </c>
    </row>
    <row r="27" s="41" customFormat="1" ht="15" customHeight="1" spans="1:4">
      <c r="A27" s="109">
        <v>9</v>
      </c>
      <c r="B27" s="111" t="s">
        <v>223</v>
      </c>
      <c r="C27" s="111">
        <v>1389</v>
      </c>
      <c r="D27" s="112" t="s">
        <v>224</v>
      </c>
    </row>
    <row r="28" s="41" customFormat="1" ht="15" customHeight="1" spans="1:4">
      <c r="A28" s="109">
        <v>10</v>
      </c>
      <c r="B28" s="111" t="s">
        <v>225</v>
      </c>
      <c r="C28" s="111">
        <v>1444</v>
      </c>
      <c r="D28" s="112" t="s">
        <v>226</v>
      </c>
    </row>
    <row r="29" s="41" customFormat="1" ht="15" customHeight="1" spans="1:4">
      <c r="A29" s="109">
        <v>11</v>
      </c>
      <c r="B29" s="111" t="s">
        <v>227</v>
      </c>
      <c r="C29" s="111">
        <v>1385</v>
      </c>
      <c r="D29" s="112" t="s">
        <v>228</v>
      </c>
    </row>
    <row r="30" s="41" customFormat="1" ht="15" customHeight="1" spans="1:4">
      <c r="A30" s="109">
        <v>12</v>
      </c>
      <c r="B30" s="111" t="s">
        <v>229</v>
      </c>
      <c r="C30" s="111">
        <v>1379</v>
      </c>
      <c r="D30" s="112" t="s">
        <v>230</v>
      </c>
    </row>
    <row r="31" s="41" customFormat="1" ht="15" customHeight="1" spans="1:4">
      <c r="A31" s="109">
        <v>13</v>
      </c>
      <c r="B31" s="111" t="s">
        <v>231</v>
      </c>
      <c r="C31" s="111">
        <v>1379</v>
      </c>
      <c r="D31" s="112" t="s">
        <v>232</v>
      </c>
    </row>
    <row r="32" s="41" customFormat="1" ht="15" customHeight="1" spans="1:4">
      <c r="A32" s="109">
        <v>14</v>
      </c>
      <c r="B32" s="111" t="s">
        <v>233</v>
      </c>
      <c r="C32" s="111">
        <v>1414</v>
      </c>
      <c r="D32" s="112" t="s">
        <v>234</v>
      </c>
    </row>
    <row r="33" s="41" customFormat="1" ht="15" customHeight="1" spans="1:4">
      <c r="A33" s="109">
        <v>15</v>
      </c>
      <c r="B33" s="111" t="s">
        <v>235</v>
      </c>
      <c r="C33" s="111">
        <v>1364</v>
      </c>
      <c r="D33" s="112" t="s">
        <v>236</v>
      </c>
    </row>
    <row r="34" s="41" customFormat="1" ht="15" customHeight="1" spans="1:4">
      <c r="A34" s="109">
        <v>16</v>
      </c>
      <c r="B34" s="111" t="s">
        <v>237</v>
      </c>
      <c r="C34" s="111">
        <v>1411</v>
      </c>
      <c r="D34" s="112" t="s">
        <v>238</v>
      </c>
    </row>
    <row r="35" s="41" customFormat="1" ht="15" customHeight="1" spans="1:4">
      <c r="A35" s="109">
        <v>17</v>
      </c>
      <c r="B35" s="111" t="s">
        <v>239</v>
      </c>
      <c r="C35" s="111">
        <v>1398</v>
      </c>
      <c r="D35" s="112" t="s">
        <v>240</v>
      </c>
    </row>
    <row r="36" s="41" customFormat="1" ht="15" customHeight="1" spans="1:4">
      <c r="A36" s="109">
        <v>18</v>
      </c>
      <c r="B36" s="111" t="s">
        <v>241</v>
      </c>
      <c r="C36" s="111">
        <v>1364</v>
      </c>
      <c r="D36" s="112" t="s">
        <v>242</v>
      </c>
    </row>
    <row r="37" s="41" customFormat="1" ht="15" customHeight="1" spans="1:4">
      <c r="A37" s="109">
        <v>19</v>
      </c>
      <c r="B37" s="111" t="s">
        <v>243</v>
      </c>
      <c r="C37" s="111">
        <v>1283</v>
      </c>
      <c r="D37" s="112" t="s">
        <v>244</v>
      </c>
    </row>
    <row r="38" s="41" customFormat="1" ht="15" customHeight="1" spans="1:4">
      <c r="A38" s="109">
        <v>20</v>
      </c>
      <c r="B38" s="111" t="s">
        <v>245</v>
      </c>
      <c r="C38" s="111">
        <v>1459</v>
      </c>
      <c r="D38" s="112" t="s">
        <v>246</v>
      </c>
    </row>
    <row r="39" s="41" customFormat="1" ht="15" customHeight="1" spans="1:4">
      <c r="A39" s="109">
        <v>21</v>
      </c>
      <c r="B39" s="111" t="s">
        <v>247</v>
      </c>
      <c r="C39" s="111">
        <v>1407</v>
      </c>
      <c r="D39" s="112" t="s">
        <v>248</v>
      </c>
    </row>
    <row r="40" s="41" customFormat="1" ht="15" customHeight="1" spans="1:4">
      <c r="A40" s="109">
        <v>22</v>
      </c>
      <c r="B40" s="111" t="s">
        <v>249</v>
      </c>
      <c r="C40" s="111">
        <v>1430</v>
      </c>
      <c r="D40" s="112" t="s">
        <v>250</v>
      </c>
    </row>
    <row r="41" s="41" customFormat="1" ht="15" customHeight="1" spans="1:4">
      <c r="A41" s="109"/>
      <c r="B41" s="112"/>
      <c r="C41" s="112"/>
      <c r="D41" s="112"/>
    </row>
    <row r="42" s="41" customFormat="1" ht="15" customHeight="1" spans="1:4">
      <c r="A42" s="117" t="s">
        <v>251</v>
      </c>
      <c r="B42" s="117"/>
      <c r="C42" s="117">
        <f>SUM(C19:C40)</f>
        <v>30653</v>
      </c>
      <c r="D42" s="117"/>
    </row>
    <row r="43" s="41" customFormat="1" ht="15" customHeight="1" spans="1:4">
      <c r="A43" s="117"/>
      <c r="B43" s="117"/>
      <c r="C43" s="117"/>
      <c r="D43" s="117"/>
    </row>
    <row r="44" s="41" customFormat="1" ht="15" customHeight="1" spans="1:4">
      <c r="A44" s="117"/>
      <c r="B44" s="117"/>
      <c r="C44" s="117"/>
      <c r="D44" s="117"/>
    </row>
    <row r="45" s="107" customFormat="1" ht="15" customHeight="1" spans="1:4">
      <c r="A45" s="117" t="s">
        <v>252</v>
      </c>
      <c r="B45" s="117"/>
      <c r="C45" s="117"/>
      <c r="D45" s="117"/>
    </row>
    <row r="46" s="107" customFormat="1" ht="15" customHeight="1" spans="1:4">
      <c r="A46" s="117" t="s">
        <v>253</v>
      </c>
      <c r="B46" s="117"/>
      <c r="C46" s="117"/>
      <c r="D46" s="117"/>
    </row>
    <row r="47" s="41" customFormat="1" spans="1:4">
      <c r="A47" s="119" t="s">
        <v>254</v>
      </c>
      <c r="B47" s="119"/>
      <c r="C47" s="119"/>
      <c r="D47" s="120"/>
    </row>
    <row r="48" s="41" customFormat="1" spans="1:4">
      <c r="A48" s="136" t="s">
        <v>255</v>
      </c>
      <c r="B48" s="148"/>
      <c r="C48" s="148" t="s">
        <v>256</v>
      </c>
      <c r="D48" s="149"/>
    </row>
    <row r="49" s="41" customFormat="1" spans="1:8">
      <c r="A49" s="121" t="s">
        <v>257</v>
      </c>
      <c r="B49" s="121"/>
      <c r="C49" s="121" t="s">
        <v>258</v>
      </c>
      <c r="D49" s="122"/>
    </row>
    <row r="50" s="41" customFormat="1" spans="1:8">
      <c r="A50" s="144"/>
      <c r="B50" s="144"/>
      <c r="C50" s="144"/>
      <c r="D50" s="122"/>
    </row>
    <row r="51" s="41" customFormat="1" spans="1:8">
      <c r="A51" s="121"/>
      <c r="B51" s="122"/>
      <c r="C51" s="122"/>
      <c r="D51" s="122"/>
    </row>
    <row r="52" s="41" customFormat="1" ht="12" customHeight="1" spans="1:8">
      <c r="A52" s="50"/>
      <c r="B52"/>
      <c r="C52" s="41"/>
      <c r="D52"/>
    </row>
    <row r="53" s="41" customFormat="1" spans="1:8">
      <c r="A53"/>
      <c r="B53"/>
      <c r="C53" s="41"/>
      <c r="D53"/>
    </row>
    <row r="54" s="41" customFormat="1" spans="1:8">
      <c r="A54"/>
      <c r="B54"/>
      <c r="C54"/>
      <c r="D54"/>
      <c r="E54" s="124"/>
      <c r="F54" s="124"/>
      <c r="G54" s="124"/>
      <c r="H54" s="124"/>
    </row>
    <row r="55" spans="1:8">
      <c r="A55"/>
      <c r="B55"/>
      <c r="C55"/>
      <c r="D55"/>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98" spans="1:4">
      <c r="A98"/>
      <c r="B98"/>
      <c r="C98"/>
      <c r="D98"/>
    </row>
    <row r="99" spans="1:4">
      <c r="A99"/>
      <c r="B99"/>
      <c r="C99"/>
      <c r="D99"/>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row r="108" spans="1:4">
      <c r="A108"/>
      <c r="B108"/>
      <c r="C108"/>
      <c r="D108"/>
    </row>
    <row r="109" spans="1:4">
      <c r="A109"/>
      <c r="B109"/>
      <c r="C109"/>
      <c r="D109"/>
    </row>
  </sheetData>
  <mergeCells count="8">
    <mergeCell ref="A3:B3"/>
    <mergeCell ref="A4:B4"/>
    <mergeCell ref="A5:C5"/>
    <mergeCell ref="A6:D6"/>
    <mergeCell ref="A9:B9"/>
    <mergeCell ref="A41:C41"/>
    <mergeCell ref="C13:D14"/>
    <mergeCell ref="A1:D2"/>
  </mergeCells>
  <pageMargins left="0.7" right="0.7" top="0.75" bottom="0.75" header="0.3" footer="0.3"/>
  <pageSetup paperSize="9" scale="95"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7"/>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42" t="s">
        <v>259</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BP!B13</f>
        <v>EX202609-0507</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IF(BP!C13="","",BP!C13)</f>
        <v>T963ERN</v>
      </c>
      <c r="D10" s="91"/>
    </row>
    <row r="11" s="41" customFormat="1" spans="1:4">
      <c r="A11" s="91" t="s">
        <v>194</v>
      </c>
      <c r="B11" s="98" t="str">
        <f>IF(BP!D13="","",BP!D13)</f>
        <v>T918ERX</v>
      </c>
      <c r="C11" s="93" t="s">
        <v>195</v>
      </c>
      <c r="D11" s="94" t="str">
        <f>IF(BP!E13="","",BP!E13)</f>
        <v>NA</v>
      </c>
    </row>
    <row r="12" s="41" customFormat="1" spans="1:4">
      <c r="A12" s="91" t="s">
        <v>196</v>
      </c>
      <c r="B12" s="98" t="str">
        <f>IF(BP!G13="","",BP!G13)</f>
        <v>IDDI IBRAHIMU</v>
      </c>
      <c r="C12" s="99" t="s">
        <v>197</v>
      </c>
      <c r="D12" s="91" t="str">
        <f>IF(BP!H13="","",BP!H13)</f>
        <v>TAE326185</v>
      </c>
    </row>
    <row r="13" s="41" customFormat="1" spans="1:4">
      <c r="A13" s="91" t="s">
        <v>198</v>
      </c>
      <c r="B13" s="91"/>
      <c r="C13" s="100"/>
      <c r="D13" s="100"/>
    </row>
    <row r="14" s="41" customFormat="1" ht="15" customHeight="1" spans="1:4">
      <c r="A14" s="91" t="s">
        <v>199</v>
      </c>
      <c r="B14" s="94" t="str">
        <f>IF(BP!I13="","",BP!I13)</f>
        <v>VAN MO COMPANY LIMITED</v>
      </c>
      <c r="C14" s="100"/>
      <c r="D14" s="100"/>
    </row>
    <row r="15" s="41" customFormat="1" ht="15" customHeight="1" spans="1:4">
      <c r="A15" s="95" t="s">
        <v>200</v>
      </c>
      <c r="B15" s="101" t="s">
        <v>201</v>
      </c>
      <c r="C15" s="102"/>
      <c r="D15" s="102"/>
    </row>
    <row r="16" s="41" customFormat="1" ht="15" customHeight="1" spans="1:4">
      <c r="A16" s="95" t="s">
        <v>202</v>
      </c>
      <c r="B16" s="101" t="str">
        <f>IF(BP!J13="","",BP!J13)</f>
        <v>Dar es Salaam</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260</v>
      </c>
      <c r="C19" s="111">
        <v>1390</v>
      </c>
      <c r="D19" s="112" t="s">
        <v>261</v>
      </c>
    </row>
    <row r="20" s="41" customFormat="1" ht="15" customHeight="1" spans="1:4">
      <c r="A20" s="109">
        <v>2</v>
      </c>
      <c r="B20" s="111" t="s">
        <v>262</v>
      </c>
      <c r="C20" s="111">
        <v>1354</v>
      </c>
      <c r="D20" s="112" t="s">
        <v>263</v>
      </c>
    </row>
    <row r="21" s="41" customFormat="1" ht="15" customHeight="1" spans="1:4">
      <c r="A21" s="109">
        <v>3</v>
      </c>
      <c r="B21" s="111" t="s">
        <v>264</v>
      </c>
      <c r="C21" s="111">
        <v>1348</v>
      </c>
      <c r="D21" s="112" t="s">
        <v>265</v>
      </c>
    </row>
    <row r="22" s="41" customFormat="1" ht="15" customHeight="1" spans="1:4">
      <c r="A22" s="109">
        <v>4</v>
      </c>
      <c r="B22" s="111" t="s">
        <v>266</v>
      </c>
      <c r="C22" s="111">
        <v>1008</v>
      </c>
      <c r="D22" s="112" t="s">
        <v>267</v>
      </c>
    </row>
    <row r="23" s="41" customFormat="1" ht="15" customHeight="1" spans="1:4">
      <c r="A23" s="109">
        <v>5</v>
      </c>
      <c r="B23" s="111" t="s">
        <v>268</v>
      </c>
      <c r="C23" s="111">
        <v>1181</v>
      </c>
      <c r="D23" s="112" t="s">
        <v>269</v>
      </c>
    </row>
    <row r="24" s="41" customFormat="1" ht="15" customHeight="1" spans="1:4">
      <c r="A24" s="109">
        <v>6</v>
      </c>
      <c r="B24" s="111" t="s">
        <v>270</v>
      </c>
      <c r="C24" s="111">
        <v>1019</v>
      </c>
      <c r="D24" s="112" t="s">
        <v>271</v>
      </c>
    </row>
    <row r="25" s="41" customFormat="1" ht="15" customHeight="1" spans="1:4">
      <c r="A25" s="109">
        <v>7</v>
      </c>
      <c r="B25" s="111" t="s">
        <v>272</v>
      </c>
      <c r="C25" s="111">
        <v>1072</v>
      </c>
      <c r="D25" s="112" t="s">
        <v>273</v>
      </c>
    </row>
    <row r="26" s="41" customFormat="1" ht="15" customHeight="1" spans="1:4">
      <c r="A26" s="109">
        <v>8</v>
      </c>
      <c r="B26" s="111" t="s">
        <v>274</v>
      </c>
      <c r="C26" s="111">
        <v>1060</v>
      </c>
      <c r="D26" s="112" t="s">
        <v>275</v>
      </c>
    </row>
    <row r="27" s="41" customFormat="1" ht="15" customHeight="1" spans="1:4">
      <c r="A27" s="109">
        <v>9</v>
      </c>
      <c r="B27" s="111" t="s">
        <v>276</v>
      </c>
      <c r="C27" s="111">
        <v>1023</v>
      </c>
      <c r="D27" s="112" t="s">
        <v>277</v>
      </c>
    </row>
    <row r="28" s="41" customFormat="1" ht="15" customHeight="1" spans="1:4">
      <c r="A28" s="109">
        <v>10</v>
      </c>
      <c r="B28" s="111" t="s">
        <v>278</v>
      </c>
      <c r="C28" s="111">
        <v>1159</v>
      </c>
      <c r="D28" s="112" t="s">
        <v>279</v>
      </c>
    </row>
    <row r="29" s="41" customFormat="1" ht="15" customHeight="1" spans="1:4">
      <c r="A29" s="109">
        <v>11</v>
      </c>
      <c r="B29" s="111" t="s">
        <v>280</v>
      </c>
      <c r="C29" s="111">
        <v>1042</v>
      </c>
      <c r="D29" s="112" t="s">
        <v>281</v>
      </c>
    </row>
    <row r="30" s="41" customFormat="1" ht="15" customHeight="1" spans="1:4">
      <c r="A30" s="109">
        <v>12</v>
      </c>
      <c r="B30" s="111" t="s">
        <v>282</v>
      </c>
      <c r="C30" s="111">
        <v>1177</v>
      </c>
      <c r="D30" s="112" t="s">
        <v>283</v>
      </c>
    </row>
    <row r="31" s="41" customFormat="1" ht="15" customHeight="1" spans="1:4">
      <c r="A31" s="109">
        <v>13</v>
      </c>
      <c r="B31" s="111" t="s">
        <v>284</v>
      </c>
      <c r="C31" s="111">
        <v>1053</v>
      </c>
      <c r="D31" s="112" t="s">
        <v>285</v>
      </c>
    </row>
    <row r="32" s="41" customFormat="1" ht="15" customHeight="1" spans="1:4">
      <c r="A32" s="109">
        <v>14</v>
      </c>
      <c r="B32" s="111" t="s">
        <v>286</v>
      </c>
      <c r="C32" s="111">
        <v>1028</v>
      </c>
      <c r="D32" s="112" t="s">
        <v>287</v>
      </c>
    </row>
    <row r="33" s="41" customFormat="1" ht="15" customHeight="1" spans="1:4">
      <c r="A33" s="109">
        <v>15</v>
      </c>
      <c r="B33" s="111" t="s">
        <v>288</v>
      </c>
      <c r="C33" s="111">
        <v>1043</v>
      </c>
      <c r="D33" s="112" t="s">
        <v>289</v>
      </c>
    </row>
    <row r="34" s="41" customFormat="1" ht="15" customHeight="1" spans="1:4">
      <c r="A34" s="109">
        <v>16</v>
      </c>
      <c r="B34" s="111" t="s">
        <v>290</v>
      </c>
      <c r="C34" s="111">
        <v>1071</v>
      </c>
      <c r="D34" s="112" t="s">
        <v>291</v>
      </c>
    </row>
    <row r="35" s="41" customFormat="1" ht="15" customHeight="1" spans="1:4">
      <c r="A35" s="109">
        <v>17</v>
      </c>
      <c r="B35" s="111" t="s">
        <v>292</v>
      </c>
      <c r="C35" s="111">
        <v>1025</v>
      </c>
      <c r="D35" s="112" t="s">
        <v>293</v>
      </c>
    </row>
    <row r="36" s="41" customFormat="1" ht="15" customHeight="1" spans="1:4">
      <c r="A36" s="109">
        <v>18</v>
      </c>
      <c r="B36" s="111" t="s">
        <v>294</v>
      </c>
      <c r="C36" s="111">
        <v>1422</v>
      </c>
      <c r="D36" s="112" t="s">
        <v>295</v>
      </c>
    </row>
    <row r="37" s="41" customFormat="1" ht="15" customHeight="1" spans="1:4">
      <c r="A37" s="109">
        <v>19</v>
      </c>
      <c r="B37" s="111" t="s">
        <v>296</v>
      </c>
      <c r="C37" s="111">
        <v>1443</v>
      </c>
      <c r="D37" s="112" t="s">
        <v>297</v>
      </c>
    </row>
    <row r="38" s="41" customFormat="1" ht="15" customHeight="1" spans="1:4">
      <c r="A38" s="109">
        <v>20</v>
      </c>
      <c r="B38" s="111" t="s">
        <v>298</v>
      </c>
      <c r="C38" s="111">
        <v>1453</v>
      </c>
      <c r="D38" s="112" t="s">
        <v>299</v>
      </c>
    </row>
    <row r="39" s="41" customFormat="1" ht="15" customHeight="1" spans="1:4">
      <c r="A39" s="109">
        <v>21</v>
      </c>
      <c r="B39" s="111" t="s">
        <v>300</v>
      </c>
      <c r="C39" s="111">
        <v>1051</v>
      </c>
      <c r="D39" s="112" t="s">
        <v>301</v>
      </c>
    </row>
    <row r="40" s="41" customFormat="1" ht="15" customHeight="1" spans="1:4">
      <c r="A40" s="109">
        <v>22</v>
      </c>
      <c r="B40" s="111" t="s">
        <v>302</v>
      </c>
      <c r="C40" s="111">
        <v>1341</v>
      </c>
      <c r="D40" s="112" t="s">
        <v>303</v>
      </c>
    </row>
    <row r="41" s="41" customFormat="1" ht="15" customHeight="1" spans="1:4">
      <c r="A41" s="109">
        <v>23</v>
      </c>
      <c r="B41" s="112" t="s">
        <v>304</v>
      </c>
      <c r="C41" s="112">
        <v>1081</v>
      </c>
      <c r="D41" s="112" t="s">
        <v>305</v>
      </c>
    </row>
    <row r="42" s="41" customFormat="1" ht="15" customHeight="1" spans="1:4">
      <c r="A42" s="112">
        <v>24</v>
      </c>
      <c r="B42" s="112" t="s">
        <v>306</v>
      </c>
      <c r="C42" s="112">
        <v>1267</v>
      </c>
      <c r="D42" s="112" t="s">
        <v>307</v>
      </c>
    </row>
    <row r="43" s="41" customFormat="1" ht="15" customHeight="1" spans="1:4">
      <c r="A43" s="112">
        <v>25</v>
      </c>
      <c r="B43" s="112" t="s">
        <v>308</v>
      </c>
      <c r="C43" s="112">
        <v>1207</v>
      </c>
      <c r="D43" s="112" t="s">
        <v>309</v>
      </c>
    </row>
    <row r="44" s="41" customFormat="1" ht="15" customHeight="1" spans="1:4">
      <c r="A44" s="112">
        <v>26</v>
      </c>
      <c r="B44" s="112" t="s">
        <v>310</v>
      </c>
      <c r="C44" s="112">
        <v>1254</v>
      </c>
      <c r="D44" s="112" t="s">
        <v>311</v>
      </c>
    </row>
    <row r="45" s="41" customFormat="1" ht="15" customHeight="1" spans="1:4">
      <c r="A45" s="112"/>
      <c r="B45" s="112"/>
      <c r="C45" s="112"/>
      <c r="D45" s="112"/>
    </row>
    <row r="46" s="41" customFormat="1" ht="15" customHeight="1" spans="1:4">
      <c r="A46" s="112" t="s">
        <v>251</v>
      </c>
      <c r="B46" s="112"/>
      <c r="C46" s="112">
        <f>SUM(C19:C44)</f>
        <v>30572</v>
      </c>
      <c r="D46" s="112"/>
    </row>
    <row r="47" s="41" customFormat="1" ht="15" customHeight="1" spans="1:4">
      <c r="A47" s="112"/>
      <c r="B47" s="112"/>
      <c r="C47" s="112"/>
      <c r="D47" s="112"/>
    </row>
    <row r="48" s="41" customFormat="1" spans="1:4">
      <c r="A48" s="121"/>
      <c r="B48" s="121"/>
      <c r="C48" s="121"/>
      <c r="D48"/>
    </row>
    <row r="49" s="41" customFormat="1" spans="1:8">
      <c r="A49" s="121" t="s">
        <v>252</v>
      </c>
      <c r="B49" s="122"/>
      <c r="C49" s="122"/>
      <c r="D49"/>
    </row>
    <row r="50" s="41" customFormat="1" ht="15" customHeight="1" spans="1:8">
      <c r="A50" s="123" t="s">
        <v>253</v>
      </c>
      <c r="B50" s="122"/>
      <c r="C50" s="121"/>
      <c r="D50"/>
    </row>
    <row r="51" s="41" customFormat="1" spans="1:8">
      <c r="A51" t="s">
        <v>254</v>
      </c>
      <c r="B51"/>
      <c r="C51" s="41"/>
      <c r="D51"/>
    </row>
    <row r="52" s="41" customFormat="1" spans="1:8">
      <c r="A52" t="s">
        <v>255</v>
      </c>
      <c r="B52"/>
      <c r="C52" t="s">
        <v>256</v>
      </c>
      <c r="D52"/>
      <c r="E52" s="124"/>
      <c r="F52" s="124"/>
      <c r="G52" s="124"/>
      <c r="H52" s="124"/>
    </row>
    <row r="53" spans="1:8">
      <c r="A53" t="s">
        <v>257</v>
      </c>
      <c r="B53"/>
      <c r="C53" t="s">
        <v>258</v>
      </c>
      <c r="D53"/>
    </row>
    <row r="54" spans="1:8">
      <c r="A54"/>
      <c r="B54"/>
      <c r="C54"/>
      <c r="D54"/>
    </row>
    <row r="55" spans="1:8">
      <c r="A55"/>
      <c r="B55"/>
      <c r="C55"/>
      <c r="D55"/>
    </row>
    <row r="56" spans="1:8">
      <c r="A56"/>
      <c r="B56"/>
      <c r="C56"/>
      <c r="D56"/>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100" spans="1:4">
      <c r="A100"/>
      <c r="B100"/>
      <c r="C100"/>
      <c r="D100"/>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sheetData>
  <mergeCells count="8">
    <mergeCell ref="A3:B3"/>
    <mergeCell ref="A4:B4"/>
    <mergeCell ref="A5:C5"/>
    <mergeCell ref="A6:D6"/>
    <mergeCell ref="A9:B9"/>
    <mergeCell ref="A45:C45"/>
    <mergeCell ref="A1:D2"/>
    <mergeCell ref="C13:D14"/>
  </mergeCells>
  <pageMargins left="0.7" right="0.7" top="0.75" bottom="0.75" header="0.3" footer="0.3"/>
  <pageSetup paperSize="9" scale="87"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7"/>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42" t="s">
        <v>259</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BP!B14</f>
        <v>EX202609-0508</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IF(BP!C14="","",BP!C14)</f>
        <v>T688ERQ</v>
      </c>
      <c r="D10" s="91"/>
    </row>
    <row r="11" s="41" customFormat="1" spans="1:4">
      <c r="A11" s="91" t="s">
        <v>194</v>
      </c>
      <c r="B11" s="98" t="str">
        <f>IF(BP!D14="","",BP!D14)</f>
        <v>T281ERY</v>
      </c>
      <c r="C11" s="93" t="s">
        <v>195</v>
      </c>
      <c r="D11" s="94" t="str">
        <f>IF(BP!E14="","",BP!E14)</f>
        <v>NA</v>
      </c>
    </row>
    <row r="12" s="41" customFormat="1" spans="1:4">
      <c r="A12" s="91" t="s">
        <v>196</v>
      </c>
      <c r="B12" s="98" t="str">
        <f>IF(BP!G14="","",BP!G14)</f>
        <v>JOHN ANDREW</v>
      </c>
      <c r="C12" s="99" t="s">
        <v>197</v>
      </c>
      <c r="D12" s="91" t="str">
        <f>IF(BP!H14="","",BP!H14)</f>
        <v>TAE678691</v>
      </c>
    </row>
    <row r="13" s="41" customFormat="1" spans="1:4">
      <c r="A13" s="91" t="s">
        <v>198</v>
      </c>
      <c r="B13" s="91"/>
      <c r="C13" s="100"/>
      <c r="D13" s="100"/>
    </row>
    <row r="14" s="41" customFormat="1" ht="15" customHeight="1" spans="1:4">
      <c r="A14" s="91" t="s">
        <v>199</v>
      </c>
      <c r="B14" s="94" t="str">
        <f>IF(BP!I14="","",BP!I14)</f>
        <v>VAN MO COMPANY LIMITED</v>
      </c>
      <c r="C14" s="100"/>
      <c r="D14" s="100"/>
    </row>
    <row r="15" s="41" customFormat="1" ht="15" customHeight="1" spans="1:4">
      <c r="A15" s="95" t="s">
        <v>200</v>
      </c>
      <c r="B15" s="101" t="s">
        <v>201</v>
      </c>
      <c r="C15" s="102"/>
      <c r="D15" s="102"/>
    </row>
    <row r="16" s="41" customFormat="1" ht="15" customHeight="1" spans="1:4">
      <c r="A16" s="95" t="s">
        <v>202</v>
      </c>
      <c r="B16" s="101" t="str">
        <f>IF(BP!J14="","",BP!J14)</f>
        <v>Dar es Salaam</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312</v>
      </c>
      <c r="C19" s="111">
        <v>1336</v>
      </c>
      <c r="D19" s="112" t="s">
        <v>313</v>
      </c>
    </row>
    <row r="20" s="41" customFormat="1" ht="15" customHeight="1" spans="1:4">
      <c r="A20" s="109">
        <v>2</v>
      </c>
      <c r="B20" s="111" t="s">
        <v>314</v>
      </c>
      <c r="C20" s="111">
        <v>1371</v>
      </c>
      <c r="D20" s="112" t="s">
        <v>315</v>
      </c>
    </row>
    <row r="21" s="41" customFormat="1" ht="15" customHeight="1" spans="1:4">
      <c r="A21" s="109">
        <v>3</v>
      </c>
      <c r="B21" s="111" t="s">
        <v>316</v>
      </c>
      <c r="C21" s="111">
        <v>1356</v>
      </c>
      <c r="D21" s="112" t="s">
        <v>317</v>
      </c>
    </row>
    <row r="22" s="41" customFormat="1" ht="15" customHeight="1" spans="1:4">
      <c r="A22" s="109">
        <v>4</v>
      </c>
      <c r="B22" s="111" t="s">
        <v>318</v>
      </c>
      <c r="C22" s="111">
        <v>1319</v>
      </c>
      <c r="D22" s="112" t="s">
        <v>319</v>
      </c>
    </row>
    <row r="23" s="41" customFormat="1" ht="15" customHeight="1" spans="1:4">
      <c r="A23" s="109">
        <v>5</v>
      </c>
      <c r="B23" s="111" t="s">
        <v>320</v>
      </c>
      <c r="C23" s="111">
        <v>1436</v>
      </c>
      <c r="D23" s="112" t="s">
        <v>321</v>
      </c>
    </row>
    <row r="24" s="41" customFormat="1" ht="15" customHeight="1" spans="1:4">
      <c r="A24" s="109">
        <v>6</v>
      </c>
      <c r="B24" s="111" t="s">
        <v>322</v>
      </c>
      <c r="C24" s="111">
        <v>1404</v>
      </c>
      <c r="D24" s="112" t="s">
        <v>323</v>
      </c>
    </row>
    <row r="25" s="41" customFormat="1" ht="15" customHeight="1" spans="1:4">
      <c r="A25" s="109">
        <v>7</v>
      </c>
      <c r="B25" s="111" t="s">
        <v>324</v>
      </c>
      <c r="C25" s="111">
        <v>1409</v>
      </c>
      <c r="D25" s="112" t="s">
        <v>325</v>
      </c>
    </row>
    <row r="26" s="41" customFormat="1" ht="15" customHeight="1" spans="1:4">
      <c r="A26" s="109">
        <v>8</v>
      </c>
      <c r="B26" s="111" t="s">
        <v>326</v>
      </c>
      <c r="C26" s="111">
        <v>1380</v>
      </c>
      <c r="D26" s="112" t="s">
        <v>327</v>
      </c>
    </row>
    <row r="27" s="41" customFormat="1" ht="15" customHeight="1" spans="1:4">
      <c r="A27" s="109">
        <v>9</v>
      </c>
      <c r="B27" s="111" t="s">
        <v>328</v>
      </c>
      <c r="C27" s="111">
        <v>1374</v>
      </c>
      <c r="D27" s="112" t="s">
        <v>329</v>
      </c>
    </row>
    <row r="28" s="41" customFormat="1" ht="15" customHeight="1" spans="1:4">
      <c r="A28" s="109">
        <v>10</v>
      </c>
      <c r="B28" s="111" t="s">
        <v>330</v>
      </c>
      <c r="C28" s="111">
        <v>1344</v>
      </c>
      <c r="D28" s="112" t="s">
        <v>331</v>
      </c>
    </row>
    <row r="29" s="41" customFormat="1" ht="15" customHeight="1" spans="1:4">
      <c r="A29" s="109">
        <v>11</v>
      </c>
      <c r="B29" s="111" t="s">
        <v>332</v>
      </c>
      <c r="C29" s="111">
        <v>1354</v>
      </c>
      <c r="D29" s="112" t="s">
        <v>333</v>
      </c>
    </row>
    <row r="30" s="41" customFormat="1" ht="15" customHeight="1" spans="1:4">
      <c r="A30" s="109">
        <v>12</v>
      </c>
      <c r="B30" s="111" t="s">
        <v>334</v>
      </c>
      <c r="C30" s="111">
        <v>1381</v>
      </c>
      <c r="D30" s="112" t="s">
        <v>335</v>
      </c>
    </row>
    <row r="31" s="41" customFormat="1" ht="15" customHeight="1" spans="1:4">
      <c r="A31" s="109">
        <v>13</v>
      </c>
      <c r="B31" s="111" t="s">
        <v>336</v>
      </c>
      <c r="C31" s="111">
        <v>1358</v>
      </c>
      <c r="D31" s="112" t="s">
        <v>337</v>
      </c>
    </row>
    <row r="32" s="41" customFormat="1" ht="15" customHeight="1" spans="1:4">
      <c r="A32" s="109">
        <v>14</v>
      </c>
      <c r="B32" s="111" t="s">
        <v>338</v>
      </c>
      <c r="C32" s="111">
        <v>1279</v>
      </c>
      <c r="D32" s="112" t="s">
        <v>339</v>
      </c>
    </row>
    <row r="33" s="41" customFormat="1" ht="15" customHeight="1" spans="1:4">
      <c r="A33" s="109">
        <v>15</v>
      </c>
      <c r="B33" s="111" t="s">
        <v>340</v>
      </c>
      <c r="C33" s="111">
        <v>1279</v>
      </c>
      <c r="D33" s="112" t="s">
        <v>341</v>
      </c>
    </row>
    <row r="34" s="41" customFormat="1" ht="15" customHeight="1" spans="1:4">
      <c r="A34" s="109">
        <v>16</v>
      </c>
      <c r="B34" s="111" t="s">
        <v>342</v>
      </c>
      <c r="C34" s="111">
        <v>1433</v>
      </c>
      <c r="D34" s="112" t="s">
        <v>343</v>
      </c>
    </row>
    <row r="35" s="41" customFormat="1" ht="15" customHeight="1" spans="1:4">
      <c r="A35" s="109">
        <v>17</v>
      </c>
      <c r="B35" s="111" t="s">
        <v>344</v>
      </c>
      <c r="C35" s="111">
        <v>1302</v>
      </c>
      <c r="D35" s="112" t="s">
        <v>345</v>
      </c>
    </row>
    <row r="36" s="41" customFormat="1" ht="15" customHeight="1" spans="1:4">
      <c r="A36" s="109">
        <v>18</v>
      </c>
      <c r="B36" s="111" t="s">
        <v>346</v>
      </c>
      <c r="C36" s="111">
        <v>1328</v>
      </c>
      <c r="D36" s="112" t="s">
        <v>347</v>
      </c>
    </row>
    <row r="37" s="41" customFormat="1" ht="15" customHeight="1" spans="1:4">
      <c r="A37" s="109">
        <v>19</v>
      </c>
      <c r="B37" s="111" t="s">
        <v>348</v>
      </c>
      <c r="C37" s="111">
        <v>1232</v>
      </c>
      <c r="D37" s="112" t="s">
        <v>349</v>
      </c>
    </row>
    <row r="38" s="41" customFormat="1" ht="15" customHeight="1" spans="1:4">
      <c r="A38" s="109">
        <v>20</v>
      </c>
      <c r="B38" s="111" t="s">
        <v>350</v>
      </c>
      <c r="C38" s="111">
        <v>1179</v>
      </c>
      <c r="D38" s="112" t="s">
        <v>351</v>
      </c>
    </row>
    <row r="39" s="41" customFormat="1" ht="15" customHeight="1" spans="1:4">
      <c r="A39" s="109">
        <v>21</v>
      </c>
      <c r="B39" s="111" t="s">
        <v>352</v>
      </c>
      <c r="C39" s="111">
        <v>1250</v>
      </c>
      <c r="D39" s="112" t="s">
        <v>353</v>
      </c>
    </row>
    <row r="40" s="41" customFormat="1" ht="15" customHeight="1" spans="1:4">
      <c r="A40" s="111">
        <v>22</v>
      </c>
      <c r="B40" s="111" t="s">
        <v>354</v>
      </c>
      <c r="C40" s="111">
        <v>1250</v>
      </c>
      <c r="D40" s="111" t="s">
        <v>355</v>
      </c>
    </row>
    <row r="41" s="41" customFormat="1" ht="15" customHeight="1" spans="1:4">
      <c r="A41" s="109">
        <v>23</v>
      </c>
      <c r="B41" s="111" t="s">
        <v>356</v>
      </c>
      <c r="C41" s="111">
        <v>1227</v>
      </c>
      <c r="D41" s="112" t="s">
        <v>357</v>
      </c>
    </row>
    <row r="42" s="41" customFormat="1" ht="15" customHeight="1" spans="1:4">
      <c r="A42" s="111"/>
      <c r="B42" s="111"/>
      <c r="C42" s="111"/>
      <c r="D42" s="111"/>
    </row>
    <row r="43" s="41" customFormat="1" ht="15" customHeight="1" spans="1:4">
      <c r="A43" s="111" t="s">
        <v>251</v>
      </c>
      <c r="B43" s="111"/>
      <c r="C43" s="111">
        <f>SUM(C19:C41)</f>
        <v>30581</v>
      </c>
      <c r="D43" s="111"/>
    </row>
    <row r="44" s="41" customFormat="1" ht="15" customHeight="1" spans="1:4">
      <c r="A44" s="111"/>
      <c r="B44" s="111"/>
      <c r="C44" s="111"/>
      <c r="D44" s="111"/>
    </row>
    <row r="45" s="41" customFormat="1" ht="15" customHeight="1" spans="1:4">
      <c r="A45" s="111"/>
      <c r="B45" s="111"/>
      <c r="C45" s="111"/>
      <c r="D45" s="111"/>
    </row>
    <row r="46" s="41" customFormat="1" ht="15" customHeight="1" spans="1:4">
      <c r="A46" s="111" t="s">
        <v>252</v>
      </c>
      <c r="B46" s="111"/>
      <c r="C46" s="111"/>
      <c r="D46" s="111"/>
    </row>
    <row r="47" s="41" customFormat="1" ht="15" customHeight="1" spans="1:4">
      <c r="A47" s="111" t="s">
        <v>253</v>
      </c>
      <c r="B47" s="111"/>
      <c r="C47" s="111"/>
      <c r="D47" s="111"/>
    </row>
    <row r="48" s="41" customFormat="1" spans="1:4">
      <c r="A48" s="122" t="s">
        <v>254</v>
      </c>
      <c r="B48" s="122"/>
      <c r="C48" s="121"/>
      <c r="D48" s="122"/>
    </row>
    <row r="49" s="41" customFormat="1" spans="1:8">
      <c r="A49" s="122" t="s">
        <v>255</v>
      </c>
      <c r="B49" s="122"/>
      <c r="C49" s="122" t="s">
        <v>256</v>
      </c>
      <c r="D49" s="122"/>
      <c r="E49" s="124"/>
      <c r="F49" s="124"/>
      <c r="G49" s="124"/>
      <c r="H49" s="124"/>
    </row>
    <row r="50" spans="1:8">
      <c r="A50" s="122" t="s">
        <v>257</v>
      </c>
      <c r="B50" s="122"/>
      <c r="C50" s="122" t="s">
        <v>258</v>
      </c>
      <c r="D50" s="122"/>
    </row>
    <row r="51" spans="1:8">
      <c r="A51"/>
      <c r="B51"/>
      <c r="C51"/>
      <c r="D51"/>
    </row>
    <row r="52" spans="1:8">
      <c r="A52"/>
      <c r="B52"/>
      <c r="C52"/>
      <c r="D52"/>
    </row>
    <row r="53" spans="1:8">
      <c r="A53"/>
      <c r="B53"/>
      <c r="C53"/>
      <c r="D53"/>
    </row>
    <row r="54" spans="1:8">
      <c r="A54"/>
      <c r="B54"/>
      <c r="C54"/>
      <c r="D54"/>
    </row>
    <row r="55" spans="1:8">
      <c r="A55"/>
      <c r="B55"/>
      <c r="C55"/>
      <c r="D55"/>
    </row>
    <row r="56" spans="1:8">
      <c r="A56"/>
      <c r="B56"/>
      <c r="C56"/>
      <c r="D56"/>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100" spans="1:4">
      <c r="A100"/>
      <c r="B100"/>
      <c r="C100"/>
      <c r="D100"/>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sheetData>
  <mergeCells count="8">
    <mergeCell ref="A3:B3"/>
    <mergeCell ref="A4:B4"/>
    <mergeCell ref="A5:C5"/>
    <mergeCell ref="A6:D6"/>
    <mergeCell ref="A9:B9"/>
    <mergeCell ref="A42:C42"/>
    <mergeCell ref="A1:D2"/>
    <mergeCell ref="C13:D14"/>
  </mergeCells>
  <pageMargins left="0.7" right="0.7" top="0.75" bottom="0.75" header="0.3" footer="0.3"/>
  <pageSetup paperSize="9" scale="9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7"/>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89" t="s">
        <v>358</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BP!B15</f>
        <v>EX202609-0509</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IF(BP!C15="","",BP!C15)</f>
        <v>T615EFE</v>
      </c>
      <c r="D10" s="91"/>
    </row>
    <row r="11" s="41" customFormat="1" spans="1:4">
      <c r="A11" s="91" t="s">
        <v>194</v>
      </c>
      <c r="B11" s="98" t="str">
        <f>IF(BP!D15="","",BP!D15)</f>
        <v>T881EFH</v>
      </c>
      <c r="C11" s="93" t="s">
        <v>195</v>
      </c>
      <c r="D11" s="94" t="str">
        <f>IF(BP!E15="","",BP!E15)</f>
        <v>NA</v>
      </c>
    </row>
    <row r="12" s="41" customFormat="1" spans="1:4">
      <c r="A12" s="91" t="s">
        <v>196</v>
      </c>
      <c r="B12" s="98" t="str">
        <f>IF(BP!G15="","",BP!G15)</f>
        <v>ALLY KITOSI</v>
      </c>
      <c r="C12" s="99" t="s">
        <v>197</v>
      </c>
      <c r="D12" s="91" t="str">
        <f>IF(BP!H15="","",BP!H15)</f>
        <v>AB02088841</v>
      </c>
    </row>
    <row r="13" s="41" customFormat="1" spans="1:4">
      <c r="A13" s="91" t="s">
        <v>198</v>
      </c>
      <c r="B13" s="91"/>
      <c r="C13" s="100"/>
      <c r="D13" s="100"/>
    </row>
    <row r="14" s="41" customFormat="1" ht="15" customHeight="1" spans="1:4">
      <c r="A14" s="91" t="s">
        <v>199</v>
      </c>
      <c r="B14" s="94" t="str">
        <f>IF(BP!I15="","",BP!I15)</f>
        <v>IMPERIAL ROAD HAULAGE LTD</v>
      </c>
      <c r="C14" s="100"/>
      <c r="D14" s="100"/>
    </row>
    <row r="15" s="41" customFormat="1" ht="15" customHeight="1" spans="1:4">
      <c r="A15" s="95" t="s">
        <v>200</v>
      </c>
      <c r="B15" s="101" t="s">
        <v>201</v>
      </c>
      <c r="C15" s="102"/>
      <c r="D15" s="102"/>
    </row>
    <row r="16" s="41" customFormat="1" ht="15" customHeight="1" spans="1:4">
      <c r="A16" s="95" t="s">
        <v>202</v>
      </c>
      <c r="B16" s="101" t="str">
        <f>IF(BP!J15="","",BP!J15)</f>
        <v>Dar es Salaam</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359</v>
      </c>
      <c r="C19" s="111">
        <v>1548</v>
      </c>
      <c r="D19" s="112" t="s">
        <v>360</v>
      </c>
    </row>
    <row r="20" s="41" customFormat="1" ht="15" customHeight="1" spans="1:4">
      <c r="A20" s="109">
        <v>2</v>
      </c>
      <c r="B20" s="111" t="s">
        <v>361</v>
      </c>
      <c r="C20" s="111">
        <v>1661</v>
      </c>
      <c r="D20" s="112" t="s">
        <v>362</v>
      </c>
    </row>
    <row r="21" s="41" customFormat="1" ht="15" customHeight="1" spans="1:4">
      <c r="A21" s="109">
        <v>3</v>
      </c>
      <c r="B21" s="111" t="s">
        <v>363</v>
      </c>
      <c r="C21" s="111">
        <v>1398</v>
      </c>
      <c r="D21" s="112" t="s">
        <v>364</v>
      </c>
    </row>
    <row r="22" s="41" customFormat="1" ht="15" customHeight="1" spans="1:4">
      <c r="A22" s="109">
        <v>4</v>
      </c>
      <c r="B22" s="111" t="s">
        <v>365</v>
      </c>
      <c r="C22" s="111">
        <v>1450</v>
      </c>
      <c r="D22" s="112" t="s">
        <v>366</v>
      </c>
    </row>
    <row r="23" s="41" customFormat="1" ht="15" customHeight="1" spans="1:4">
      <c r="A23" s="109">
        <v>5</v>
      </c>
      <c r="B23" s="111" t="s">
        <v>367</v>
      </c>
      <c r="C23" s="111">
        <v>1421</v>
      </c>
      <c r="D23" s="112" t="s">
        <v>368</v>
      </c>
    </row>
    <row r="24" s="41" customFormat="1" ht="15" customHeight="1" spans="1:4">
      <c r="A24" s="109">
        <v>6</v>
      </c>
      <c r="B24" s="111" t="s">
        <v>369</v>
      </c>
      <c r="C24" s="111">
        <v>1422</v>
      </c>
      <c r="D24" s="112" t="s">
        <v>370</v>
      </c>
    </row>
    <row r="25" s="41" customFormat="1" ht="15" customHeight="1" spans="1:4">
      <c r="A25" s="109">
        <v>7</v>
      </c>
      <c r="B25" s="111" t="s">
        <v>371</v>
      </c>
      <c r="C25" s="111">
        <v>1581</v>
      </c>
      <c r="D25" s="112" t="s">
        <v>372</v>
      </c>
    </row>
    <row r="26" s="41" customFormat="1" ht="15" customHeight="1" spans="1:4">
      <c r="A26" s="109">
        <v>8</v>
      </c>
      <c r="B26" s="111" t="s">
        <v>373</v>
      </c>
      <c r="C26" s="111">
        <v>1426</v>
      </c>
      <c r="D26" s="112" t="s">
        <v>374</v>
      </c>
    </row>
    <row r="27" s="41" customFormat="1" ht="15" customHeight="1" spans="1:4">
      <c r="A27" s="109">
        <v>9</v>
      </c>
      <c r="B27" s="111" t="s">
        <v>375</v>
      </c>
      <c r="C27" s="111">
        <v>1556</v>
      </c>
      <c r="D27" s="112" t="s">
        <v>376</v>
      </c>
    </row>
    <row r="28" s="41" customFormat="1" ht="15" customHeight="1" spans="1:4">
      <c r="A28" s="109">
        <v>10</v>
      </c>
      <c r="B28" s="111" t="s">
        <v>377</v>
      </c>
      <c r="C28" s="111">
        <v>1524</v>
      </c>
      <c r="D28" s="112" t="s">
        <v>378</v>
      </c>
    </row>
    <row r="29" s="41" customFormat="1" ht="15" customHeight="1" spans="1:4">
      <c r="A29" s="109">
        <v>11</v>
      </c>
      <c r="B29" s="111" t="s">
        <v>379</v>
      </c>
      <c r="C29" s="111">
        <v>1353</v>
      </c>
      <c r="D29" s="112" t="s">
        <v>380</v>
      </c>
    </row>
    <row r="30" s="41" customFormat="1" ht="15" customHeight="1" spans="1:4">
      <c r="A30" s="109">
        <v>12</v>
      </c>
      <c r="B30" s="111" t="s">
        <v>381</v>
      </c>
      <c r="C30" s="111">
        <v>1463</v>
      </c>
      <c r="D30" s="112" t="s">
        <v>382</v>
      </c>
    </row>
    <row r="31" s="41" customFormat="1" ht="15" customHeight="1" spans="1:4">
      <c r="A31" s="109">
        <v>13</v>
      </c>
      <c r="B31" s="111" t="s">
        <v>383</v>
      </c>
      <c r="C31" s="111">
        <v>1476</v>
      </c>
      <c r="D31" s="112" t="s">
        <v>384</v>
      </c>
    </row>
    <row r="32" s="41" customFormat="1" ht="15" customHeight="1" spans="1:4">
      <c r="A32" s="109">
        <v>14</v>
      </c>
      <c r="B32" s="111" t="s">
        <v>385</v>
      </c>
      <c r="C32" s="111">
        <v>1355</v>
      </c>
      <c r="D32" s="112" t="s">
        <v>386</v>
      </c>
    </row>
    <row r="33" s="41" customFormat="1" ht="15" customHeight="1" spans="1:4">
      <c r="A33" s="109">
        <v>15</v>
      </c>
      <c r="B33" s="111" t="s">
        <v>387</v>
      </c>
      <c r="C33" s="111">
        <v>1354</v>
      </c>
      <c r="D33" s="112" t="s">
        <v>388</v>
      </c>
    </row>
    <row r="34" s="41" customFormat="1" ht="15" customHeight="1" spans="1:4">
      <c r="A34" s="109">
        <v>16</v>
      </c>
      <c r="B34" s="111" t="s">
        <v>389</v>
      </c>
      <c r="C34" s="111">
        <v>1495</v>
      </c>
      <c r="D34" s="112" t="s">
        <v>390</v>
      </c>
    </row>
    <row r="35" s="41" customFormat="1" ht="15" customHeight="1" spans="1:4">
      <c r="A35" s="109">
        <v>17</v>
      </c>
      <c r="B35" s="111" t="s">
        <v>391</v>
      </c>
      <c r="C35" s="111">
        <v>1454</v>
      </c>
      <c r="D35" s="112" t="s">
        <v>392</v>
      </c>
    </row>
    <row r="36" s="41" customFormat="1" ht="15" customHeight="1" spans="1:4">
      <c r="A36" s="109">
        <v>18</v>
      </c>
      <c r="B36" s="111" t="s">
        <v>393</v>
      </c>
      <c r="C36" s="111">
        <v>1449</v>
      </c>
      <c r="D36" s="112" t="s">
        <v>394</v>
      </c>
    </row>
    <row r="37" s="41" customFormat="1" ht="15" customHeight="1" spans="1:4">
      <c r="A37" s="109">
        <v>19</v>
      </c>
      <c r="B37" s="111" t="s">
        <v>395</v>
      </c>
      <c r="C37" s="111">
        <v>1348</v>
      </c>
      <c r="D37" s="112" t="s">
        <v>396</v>
      </c>
    </row>
    <row r="38" s="41" customFormat="1" ht="15" customHeight="1" spans="1:4">
      <c r="A38" s="109">
        <v>20</v>
      </c>
      <c r="B38" s="111" t="s">
        <v>397</v>
      </c>
      <c r="C38" s="111">
        <v>1438</v>
      </c>
      <c r="D38" s="112" t="s">
        <v>398</v>
      </c>
    </row>
    <row r="39" s="41" customFormat="1" ht="15" customHeight="1" spans="1:4">
      <c r="A39" s="109">
        <v>21</v>
      </c>
      <c r="B39" s="111" t="s">
        <v>399</v>
      </c>
      <c r="C39" s="111">
        <v>1415</v>
      </c>
      <c r="D39" s="112" t="s">
        <v>400</v>
      </c>
    </row>
    <row r="40" s="41" customFormat="1" ht="15" customHeight="1" spans="1:4">
      <c r="A40" s="111"/>
      <c r="B40" s="111"/>
      <c r="C40" s="111"/>
      <c r="D40" s="111"/>
    </row>
    <row r="41" s="41" customFormat="1" ht="15" customHeight="1" spans="1:4">
      <c r="A41" s="111" t="s">
        <v>251</v>
      </c>
      <c r="B41" s="111"/>
      <c r="C41" s="111">
        <f>SUM(C19:C39)</f>
        <v>30587</v>
      </c>
      <c r="D41" s="111"/>
    </row>
    <row r="42" s="41" customFormat="1" ht="15" customHeight="1" spans="1:4">
      <c r="A42" s="111"/>
      <c r="B42" s="111"/>
      <c r="C42" s="111"/>
      <c r="D42" s="111"/>
    </row>
    <row r="43" s="41" customFormat="1" ht="15" customHeight="1" spans="1:4">
      <c r="A43" s="111"/>
      <c r="B43" s="111"/>
      <c r="C43" s="111"/>
      <c r="D43" s="111"/>
    </row>
    <row r="44" s="41" customFormat="1" ht="15" customHeight="1" spans="1:4">
      <c r="A44" s="111" t="s">
        <v>252</v>
      </c>
      <c r="B44" s="111"/>
      <c r="C44" s="111"/>
      <c r="D44" s="111"/>
    </row>
    <row r="45" s="41" customFormat="1" ht="15" customHeight="1" spans="1:4">
      <c r="A45" s="111" t="s">
        <v>253</v>
      </c>
      <c r="B45" s="111"/>
      <c r="C45" s="111"/>
      <c r="D45" s="111"/>
    </row>
    <row r="46" s="41" customFormat="1" spans="1:4">
      <c r="A46" s="119" t="s">
        <v>254</v>
      </c>
      <c r="B46" s="119"/>
      <c r="C46" s="133"/>
      <c r="D46" s="134"/>
    </row>
    <row r="47" s="41" customFormat="1" spans="1:4">
      <c r="A47" s="119" t="s">
        <v>255</v>
      </c>
      <c r="B47" s="119"/>
      <c r="C47" s="119" t="s">
        <v>256</v>
      </c>
      <c r="D47" s="120"/>
    </row>
    <row r="48" s="41" customFormat="1" spans="1:4">
      <c r="A48" s="121" t="s">
        <v>257</v>
      </c>
      <c r="B48" s="122"/>
      <c r="C48" s="122" t="s">
        <v>258</v>
      </c>
      <c r="D48"/>
    </row>
    <row r="49" s="41" customFormat="1" ht="12" customHeight="1" spans="1:8">
      <c r="A49" s="123"/>
      <c r="B49" s="122"/>
      <c r="C49" s="121"/>
      <c r="D49"/>
    </row>
    <row r="50" s="41" customFormat="1" spans="1:8">
      <c r="A50" s="122"/>
      <c r="B50" s="122"/>
      <c r="C50" s="121"/>
      <c r="D50"/>
    </row>
    <row r="51" s="41" customFormat="1" spans="1:8">
      <c r="A51"/>
      <c r="B51"/>
      <c r="C51"/>
      <c r="D51"/>
      <c r="E51" s="124"/>
      <c r="F51" s="124"/>
      <c r="G51" s="124"/>
      <c r="H51" s="124"/>
    </row>
    <row r="52" spans="1:8">
      <c r="A52"/>
      <c r="B52"/>
      <c r="C52"/>
      <c r="D52"/>
    </row>
    <row r="53" spans="1:8">
      <c r="A53"/>
      <c r="B53"/>
      <c r="C53"/>
      <c r="D53"/>
    </row>
    <row r="54" spans="1:8">
      <c r="A54"/>
      <c r="B54"/>
      <c r="C54"/>
      <c r="D54"/>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100" spans="1:4">
      <c r="A100"/>
      <c r="B100"/>
      <c r="C100"/>
      <c r="D100"/>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sheetData>
  <mergeCells count="8">
    <mergeCell ref="A3:B3"/>
    <mergeCell ref="A4:B4"/>
    <mergeCell ref="A5:C5"/>
    <mergeCell ref="A6:D6"/>
    <mergeCell ref="A9:B9"/>
    <mergeCell ref="A40:C40"/>
    <mergeCell ref="A1:D2"/>
    <mergeCell ref="C13:D14"/>
  </mergeCells>
  <pageMargins left="0.7" right="0.7" top="0.75" bottom="0.75" header="0.3" footer="0.3"/>
  <pageSetup paperSize="9" scale="94"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7"/>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42" t="s">
        <v>259</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BP!B16</f>
        <v>EX202609-0510</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IF(BP!C16="","",BP!C16)</f>
        <v>T284EEY</v>
      </c>
      <c r="D10" s="91"/>
    </row>
    <row r="11" s="41" customFormat="1" spans="1:4">
      <c r="A11" s="91" t="s">
        <v>194</v>
      </c>
      <c r="B11" s="98" t="str">
        <f>IF(BP!D16="","",BP!D16)</f>
        <v>T634EEZ</v>
      </c>
      <c r="C11" s="93" t="s">
        <v>195</v>
      </c>
      <c r="D11" s="94" t="str">
        <f>IF(BP!E16="","",BP!E16)</f>
        <v>NA</v>
      </c>
    </row>
    <row r="12" s="41" customFormat="1" spans="1:4">
      <c r="A12" s="91" t="s">
        <v>196</v>
      </c>
      <c r="B12" s="98" t="str">
        <f>IF(BP!G16="","",BP!G16)</f>
        <v> NICHOLAUS LISAKAFU</v>
      </c>
      <c r="C12" s="99" t="s">
        <v>197</v>
      </c>
      <c r="D12" s="91" t="str">
        <f>IF(BP!H16="","",BP!H16)</f>
        <v>TAE644895</v>
      </c>
    </row>
    <row r="13" s="41" customFormat="1" spans="1:4">
      <c r="A13" s="91" t="s">
        <v>198</v>
      </c>
      <c r="B13" s="91"/>
      <c r="C13" s="100"/>
      <c r="D13" s="100"/>
    </row>
    <row r="14" s="41" customFormat="1" ht="15" customHeight="1" spans="1:4">
      <c r="A14" s="91" t="s">
        <v>199</v>
      </c>
      <c r="B14" s="94" t="str">
        <f>IF(BP!I16="","",BP!I16)</f>
        <v>IMPERIAL ROAD HAULAGE LTD</v>
      </c>
      <c r="C14" s="100"/>
      <c r="D14" s="100"/>
    </row>
    <row r="15" s="41" customFormat="1" ht="15" customHeight="1" spans="1:4">
      <c r="A15" s="95" t="s">
        <v>200</v>
      </c>
      <c r="B15" s="101" t="s">
        <v>201</v>
      </c>
      <c r="C15" s="102"/>
      <c r="D15" s="102"/>
    </row>
    <row r="16" s="41" customFormat="1" ht="15" customHeight="1" spans="1:4">
      <c r="A16" s="95" t="s">
        <v>202</v>
      </c>
      <c r="B16" s="101" t="str">
        <f>IF(BP!J16="","",BP!J16)</f>
        <v>Dar es Salaam</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401</v>
      </c>
      <c r="C19" s="111">
        <v>1390</v>
      </c>
      <c r="D19" s="112" t="s">
        <v>402</v>
      </c>
    </row>
    <row r="20" s="41" customFormat="1" ht="15" customHeight="1" spans="1:4">
      <c r="A20" s="109">
        <v>2</v>
      </c>
      <c r="B20" s="111" t="s">
        <v>403</v>
      </c>
      <c r="C20" s="111">
        <v>1422</v>
      </c>
      <c r="D20" s="112" t="s">
        <v>404</v>
      </c>
    </row>
    <row r="21" s="41" customFormat="1" ht="15" customHeight="1" spans="1:4">
      <c r="A21" s="109">
        <v>3</v>
      </c>
      <c r="B21" s="111" t="s">
        <v>405</v>
      </c>
      <c r="C21" s="111">
        <v>1496</v>
      </c>
      <c r="D21" s="112" t="s">
        <v>406</v>
      </c>
    </row>
    <row r="22" s="41" customFormat="1" ht="15" customHeight="1" spans="1:4">
      <c r="A22" s="109">
        <v>4</v>
      </c>
      <c r="B22" s="111" t="s">
        <v>407</v>
      </c>
      <c r="C22" s="111">
        <v>1584</v>
      </c>
      <c r="D22" s="112" t="s">
        <v>408</v>
      </c>
    </row>
    <row r="23" s="41" customFormat="1" ht="15" customHeight="1" spans="1:4">
      <c r="A23" s="109">
        <v>5</v>
      </c>
      <c r="B23" s="111" t="s">
        <v>409</v>
      </c>
      <c r="C23" s="111">
        <v>1545</v>
      </c>
      <c r="D23" s="112" t="s">
        <v>410</v>
      </c>
    </row>
    <row r="24" s="41" customFormat="1" ht="15" customHeight="1" spans="1:4">
      <c r="A24" s="109">
        <v>6</v>
      </c>
      <c r="B24" s="111" t="s">
        <v>411</v>
      </c>
      <c r="C24" s="111">
        <v>1423</v>
      </c>
      <c r="D24" s="112" t="s">
        <v>412</v>
      </c>
    </row>
    <row r="25" s="41" customFormat="1" ht="15" customHeight="1" spans="1:4">
      <c r="A25" s="109">
        <v>7</v>
      </c>
      <c r="B25" s="111" t="s">
        <v>413</v>
      </c>
      <c r="C25" s="111">
        <v>1451</v>
      </c>
      <c r="D25" s="112" t="s">
        <v>414</v>
      </c>
    </row>
    <row r="26" s="41" customFormat="1" ht="15" customHeight="1" spans="1:4">
      <c r="A26" s="109">
        <v>8</v>
      </c>
      <c r="B26" s="111" t="s">
        <v>415</v>
      </c>
      <c r="C26" s="111">
        <v>1540</v>
      </c>
      <c r="D26" s="112" t="s">
        <v>416</v>
      </c>
    </row>
    <row r="27" s="41" customFormat="1" ht="15" customHeight="1" spans="1:4">
      <c r="A27" s="109">
        <v>9</v>
      </c>
      <c r="B27" s="111" t="s">
        <v>417</v>
      </c>
      <c r="C27" s="111">
        <v>1539</v>
      </c>
      <c r="D27" s="112" t="s">
        <v>418</v>
      </c>
    </row>
    <row r="28" s="41" customFormat="1" ht="15" customHeight="1" spans="1:4">
      <c r="A28" s="109">
        <v>10</v>
      </c>
      <c r="B28" s="111" t="s">
        <v>419</v>
      </c>
      <c r="C28" s="111">
        <v>1535</v>
      </c>
      <c r="D28" s="112" t="s">
        <v>420</v>
      </c>
    </row>
    <row r="29" s="41" customFormat="1" ht="15" customHeight="1" spans="1:4">
      <c r="A29" s="109">
        <v>11</v>
      </c>
      <c r="B29" s="111" t="s">
        <v>421</v>
      </c>
      <c r="C29" s="111">
        <v>1459</v>
      </c>
      <c r="D29" s="112" t="s">
        <v>422</v>
      </c>
    </row>
    <row r="30" s="41" customFormat="1" ht="15" customHeight="1" spans="1:4">
      <c r="A30" s="109">
        <v>12</v>
      </c>
      <c r="B30" s="111" t="s">
        <v>423</v>
      </c>
      <c r="C30" s="111">
        <v>1528</v>
      </c>
      <c r="D30" s="112" t="s">
        <v>424</v>
      </c>
    </row>
    <row r="31" s="41" customFormat="1" ht="15" customHeight="1" spans="1:4">
      <c r="A31" s="109">
        <v>13</v>
      </c>
      <c r="B31" s="111" t="s">
        <v>425</v>
      </c>
      <c r="C31" s="111">
        <v>1402</v>
      </c>
      <c r="D31" s="112" t="s">
        <v>426</v>
      </c>
    </row>
    <row r="32" s="41" customFormat="1" ht="15" customHeight="1" spans="1:4">
      <c r="A32" s="109">
        <v>14</v>
      </c>
      <c r="B32" s="111" t="s">
        <v>427</v>
      </c>
      <c r="C32" s="111">
        <v>1536</v>
      </c>
      <c r="D32" s="112" t="s">
        <v>428</v>
      </c>
    </row>
    <row r="33" s="41" customFormat="1" ht="15" customHeight="1" spans="1:4">
      <c r="A33" s="109">
        <v>15</v>
      </c>
      <c r="B33" s="111" t="s">
        <v>429</v>
      </c>
      <c r="C33" s="111">
        <v>1420</v>
      </c>
      <c r="D33" s="112" t="s">
        <v>430</v>
      </c>
    </row>
    <row r="34" s="41" customFormat="1" ht="15" customHeight="1" spans="1:4">
      <c r="A34" s="109">
        <v>16</v>
      </c>
      <c r="B34" s="111" t="s">
        <v>431</v>
      </c>
      <c r="C34" s="111">
        <v>1457</v>
      </c>
      <c r="D34" s="112" t="s">
        <v>432</v>
      </c>
    </row>
    <row r="35" s="41" customFormat="1" ht="15" customHeight="1" spans="1:4">
      <c r="A35" s="109">
        <v>17</v>
      </c>
      <c r="B35" s="111" t="s">
        <v>433</v>
      </c>
      <c r="C35" s="111">
        <v>1514</v>
      </c>
      <c r="D35" s="112" t="s">
        <v>434</v>
      </c>
    </row>
    <row r="36" s="41" customFormat="1" ht="15" customHeight="1" spans="1:4">
      <c r="A36" s="109">
        <v>18</v>
      </c>
      <c r="B36" s="111" t="s">
        <v>435</v>
      </c>
      <c r="C36" s="111">
        <v>1480</v>
      </c>
      <c r="D36" s="112" t="s">
        <v>436</v>
      </c>
    </row>
    <row r="37" s="41" customFormat="1" ht="15" customHeight="1" spans="1:4">
      <c r="A37" s="109">
        <v>19</v>
      </c>
      <c r="B37" s="111" t="s">
        <v>437</v>
      </c>
      <c r="C37" s="111">
        <v>1376</v>
      </c>
      <c r="D37" s="112" t="s">
        <v>438</v>
      </c>
    </row>
    <row r="38" s="41" customFormat="1" ht="15" customHeight="1" spans="1:4">
      <c r="A38" s="109">
        <v>20</v>
      </c>
      <c r="B38" s="111" t="s">
        <v>439</v>
      </c>
      <c r="C38" s="111">
        <v>1439</v>
      </c>
      <c r="D38" s="112" t="s">
        <v>440</v>
      </c>
    </row>
    <row r="39" s="41" customFormat="1" ht="15" customHeight="1" spans="1:4">
      <c r="A39" s="109"/>
      <c r="B39" s="111"/>
      <c r="C39" s="111"/>
      <c r="D39" s="112"/>
    </row>
    <row r="40" s="41" customFormat="1" ht="15" customHeight="1" spans="1:4">
      <c r="A40" s="109" t="s">
        <v>251</v>
      </c>
      <c r="B40" s="111"/>
      <c r="C40" s="111">
        <f>SUM(C19:C38)</f>
        <v>29536</v>
      </c>
      <c r="D40" s="112"/>
    </row>
    <row r="41" s="41" customFormat="1" ht="15" customHeight="1" spans="1:4">
      <c r="A41" s="109"/>
      <c r="B41" s="111"/>
      <c r="C41" s="111"/>
      <c r="D41" s="112"/>
    </row>
    <row r="42" s="107" customFormat="1" ht="15" customHeight="1" spans="1:4">
      <c r="A42" s="109"/>
      <c r="B42" s="111"/>
      <c r="C42" s="111"/>
      <c r="D42" s="112"/>
    </row>
    <row r="43" s="107" customFormat="1" ht="15" customHeight="1" spans="1:4">
      <c r="A43" s="111"/>
      <c r="B43" s="111"/>
      <c r="C43" s="111"/>
      <c r="D43" s="111"/>
    </row>
    <row r="44" s="41" customFormat="1" ht="15" customHeight="1" spans="1:4">
      <c r="A44" s="111" t="s">
        <v>253</v>
      </c>
      <c r="B44" s="111"/>
      <c r="C44" s="111"/>
      <c r="D44" s="111"/>
    </row>
    <row r="45" s="41" customFormat="1" ht="15" customHeight="1" spans="1:4">
      <c r="A45" s="111" t="s">
        <v>254</v>
      </c>
      <c r="B45" s="111"/>
      <c r="C45" s="111"/>
      <c r="D45" s="111"/>
    </row>
    <row r="46" s="41" customFormat="1" ht="15" customHeight="1" spans="1:4">
      <c r="A46" s="111" t="s">
        <v>255</v>
      </c>
      <c r="B46" s="111"/>
      <c r="C46" s="111" t="s">
        <v>256</v>
      </c>
      <c r="D46" s="111"/>
    </row>
    <row r="47" s="41" customFormat="1" ht="15" customHeight="1" spans="1:4">
      <c r="A47" s="111" t="s">
        <v>257</v>
      </c>
      <c r="B47" s="111"/>
      <c r="C47" s="111" t="s">
        <v>258</v>
      </c>
      <c r="D47" s="111"/>
    </row>
    <row r="48" s="41" customFormat="1" spans="1:4">
      <c r="A48" s="121"/>
      <c r="B48" s="121"/>
      <c r="C48" s="121"/>
      <c r="D48" s="147"/>
    </row>
    <row r="49" s="41" customFormat="1" spans="1:8">
      <c r="A49" s="144"/>
      <c r="B49" s="144"/>
      <c r="C49" s="144"/>
      <c r="D49" s="147"/>
    </row>
    <row r="50" s="41" customFormat="1" spans="1:8">
      <c r="A50" s="78"/>
      <c r="B50"/>
      <c r="C50"/>
      <c r="D50"/>
    </row>
    <row r="51" s="41" customFormat="1" ht="12" customHeight="1" spans="1:8">
      <c r="A51" s="50"/>
      <c r="B51"/>
      <c r="C51" s="41"/>
      <c r="D51"/>
    </row>
    <row r="52" s="41" customFormat="1" spans="1:8">
      <c r="A52"/>
      <c r="B52"/>
      <c r="C52" s="41"/>
      <c r="D52"/>
    </row>
    <row r="53" s="41" customFormat="1" spans="1:8">
      <c r="A53"/>
      <c r="B53"/>
      <c r="C53"/>
      <c r="D53"/>
      <c r="E53" s="124"/>
      <c r="F53" s="124"/>
      <c r="G53" s="124"/>
      <c r="H53" s="124"/>
    </row>
    <row r="54" spans="1:8">
      <c r="A54"/>
      <c r="B54"/>
      <c r="C54"/>
      <c r="D54"/>
    </row>
    <row r="55" spans="1:8">
      <c r="A55"/>
      <c r="B55"/>
      <c r="C55"/>
      <c r="D55"/>
    </row>
    <row r="56" spans="1:8">
      <c r="A56"/>
      <c r="B56"/>
      <c r="C56"/>
      <c r="D56"/>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100" spans="1:4">
      <c r="A100"/>
      <c r="B100"/>
      <c r="C100"/>
      <c r="D100"/>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sheetData>
  <mergeCells count="8">
    <mergeCell ref="A3:B3"/>
    <mergeCell ref="A4:B4"/>
    <mergeCell ref="A5:C5"/>
    <mergeCell ref="A6:D6"/>
    <mergeCell ref="A9:B9"/>
    <mergeCell ref="A39:C39"/>
    <mergeCell ref="A1:D2"/>
    <mergeCell ref="C13:D14"/>
  </mergeCells>
  <pageMargins left="0.7" right="0.7" top="0.75" bottom="0.75" header="0.3" footer="0.3"/>
  <pageSetup paperSize="9" scale="97"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8"/>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89" t="s">
        <v>358</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BP!B17</f>
        <v>EX202609-0511</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IF(BP!C17="","",BP!C17)</f>
        <v>T994EKU</v>
      </c>
      <c r="D10" s="91"/>
    </row>
    <row r="11" s="41" customFormat="1" spans="1:4">
      <c r="A11" s="91" t="s">
        <v>194</v>
      </c>
      <c r="B11" s="98" t="str">
        <f>IF(BP!D17="","",BP!D17)</f>
        <v>T236EKS</v>
      </c>
      <c r="C11" s="93" t="s">
        <v>195</v>
      </c>
      <c r="D11" s="94" t="str">
        <f>IF(BP!E17="","",BP!E17)</f>
        <v>NA</v>
      </c>
    </row>
    <row r="12" s="41" customFormat="1" spans="1:4">
      <c r="A12" s="91" t="s">
        <v>196</v>
      </c>
      <c r="B12" s="98" t="str">
        <f>IF(BP!G17="","",BP!G17)</f>
        <v>MSANGI SULEMANI</v>
      </c>
      <c r="C12" s="99" t="s">
        <v>197</v>
      </c>
      <c r="D12" s="91" t="str">
        <f>IF(BP!H17="","",BP!H17)</f>
        <v>TAE953270</v>
      </c>
    </row>
    <row r="13" s="41" customFormat="1" spans="1:4">
      <c r="A13" s="91" t="s">
        <v>198</v>
      </c>
      <c r="B13" s="91"/>
      <c r="C13" s="100"/>
      <c r="D13" s="100"/>
    </row>
    <row r="14" s="41" customFormat="1" ht="15" customHeight="1" spans="1:4">
      <c r="A14" s="91" t="s">
        <v>199</v>
      </c>
      <c r="B14" s="94" t="str">
        <f>IF(BP!I17="","",BP!I17)</f>
        <v>IMPERIAL ROAD HAULAGE LTD</v>
      </c>
      <c r="C14" s="100"/>
      <c r="D14" s="100"/>
    </row>
    <row r="15" s="41" customFormat="1" ht="15" customHeight="1" spans="1:4">
      <c r="A15" s="95" t="s">
        <v>200</v>
      </c>
      <c r="B15" s="101" t="s">
        <v>201</v>
      </c>
      <c r="C15" s="102"/>
      <c r="D15" s="102"/>
    </row>
    <row r="16" s="41" customFormat="1" ht="15" customHeight="1" spans="1:4">
      <c r="A16" s="95" t="s">
        <v>202</v>
      </c>
      <c r="B16" s="101" t="str">
        <f>IF(BP!J17="","",BP!J17)</f>
        <v>Dar es Salaam</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441</v>
      </c>
      <c r="C19" s="111">
        <v>1383</v>
      </c>
      <c r="D19" s="112" t="s">
        <v>442</v>
      </c>
    </row>
    <row r="20" s="41" customFormat="1" ht="15" customHeight="1" spans="1:4">
      <c r="A20" s="109">
        <v>2</v>
      </c>
      <c r="B20" s="111" t="s">
        <v>443</v>
      </c>
      <c r="C20" s="111">
        <v>1449</v>
      </c>
      <c r="D20" s="112" t="s">
        <v>444</v>
      </c>
    </row>
    <row r="21" s="41" customFormat="1" ht="15" customHeight="1" spans="1:4">
      <c r="A21" s="109">
        <v>3</v>
      </c>
      <c r="B21" s="111" t="s">
        <v>445</v>
      </c>
      <c r="C21" s="111">
        <v>1375</v>
      </c>
      <c r="D21" s="112" t="s">
        <v>446</v>
      </c>
    </row>
    <row r="22" s="41" customFormat="1" ht="15" customHeight="1" spans="1:4">
      <c r="A22" s="109">
        <v>4</v>
      </c>
      <c r="B22" s="111" t="s">
        <v>447</v>
      </c>
      <c r="C22" s="111">
        <v>1420</v>
      </c>
      <c r="D22" s="112" t="s">
        <v>448</v>
      </c>
    </row>
    <row r="23" s="41" customFormat="1" ht="15" customHeight="1" spans="1:4">
      <c r="A23" s="109">
        <v>5</v>
      </c>
      <c r="B23" s="111" t="s">
        <v>449</v>
      </c>
      <c r="C23" s="111">
        <v>1368</v>
      </c>
      <c r="D23" s="112" t="s">
        <v>450</v>
      </c>
    </row>
    <row r="24" s="41" customFormat="1" ht="15" customHeight="1" spans="1:4">
      <c r="A24" s="109">
        <v>6</v>
      </c>
      <c r="B24" s="111" t="s">
        <v>451</v>
      </c>
      <c r="C24" s="111">
        <v>1304</v>
      </c>
      <c r="D24" s="112" t="s">
        <v>452</v>
      </c>
    </row>
    <row r="25" s="41" customFormat="1" ht="15" customHeight="1" spans="1:4">
      <c r="A25" s="109">
        <v>7</v>
      </c>
      <c r="B25" s="111" t="s">
        <v>453</v>
      </c>
      <c r="C25" s="111">
        <v>1405</v>
      </c>
      <c r="D25" s="112" t="s">
        <v>454</v>
      </c>
    </row>
    <row r="26" s="41" customFormat="1" ht="15" customHeight="1" spans="1:4">
      <c r="A26" s="109">
        <v>8</v>
      </c>
      <c r="B26" s="111" t="s">
        <v>455</v>
      </c>
      <c r="C26" s="111">
        <v>1418</v>
      </c>
      <c r="D26" s="112" t="s">
        <v>456</v>
      </c>
    </row>
    <row r="27" s="41" customFormat="1" ht="15" customHeight="1" spans="1:4">
      <c r="A27" s="109">
        <v>9</v>
      </c>
      <c r="B27" s="111" t="s">
        <v>457</v>
      </c>
      <c r="C27" s="111">
        <v>1393</v>
      </c>
      <c r="D27" s="112" t="s">
        <v>458</v>
      </c>
    </row>
    <row r="28" s="41" customFormat="1" ht="15" customHeight="1" spans="1:4">
      <c r="A28" s="109">
        <v>10</v>
      </c>
      <c r="B28" s="111" t="s">
        <v>459</v>
      </c>
      <c r="C28" s="111">
        <v>1331</v>
      </c>
      <c r="D28" s="112" t="s">
        <v>460</v>
      </c>
    </row>
    <row r="29" s="41" customFormat="1" ht="15" customHeight="1" spans="1:4">
      <c r="A29" s="109">
        <v>11</v>
      </c>
      <c r="B29" s="111" t="s">
        <v>461</v>
      </c>
      <c r="C29" s="111">
        <v>1385</v>
      </c>
      <c r="D29" s="112" t="s">
        <v>462</v>
      </c>
    </row>
    <row r="30" s="41" customFormat="1" ht="15" customHeight="1" spans="1:4">
      <c r="A30" s="109">
        <v>12</v>
      </c>
      <c r="B30" s="111" t="s">
        <v>463</v>
      </c>
      <c r="C30" s="111">
        <v>1503</v>
      </c>
      <c r="D30" s="112" t="s">
        <v>464</v>
      </c>
    </row>
    <row r="31" s="41" customFormat="1" ht="15" customHeight="1" spans="1:4">
      <c r="A31" s="109">
        <v>13</v>
      </c>
      <c r="B31" s="111" t="s">
        <v>465</v>
      </c>
      <c r="C31" s="111">
        <v>1372</v>
      </c>
      <c r="D31" s="112" t="s">
        <v>466</v>
      </c>
    </row>
    <row r="32" s="41" customFormat="1" ht="15" customHeight="1" spans="1:4">
      <c r="A32" s="109">
        <v>14</v>
      </c>
      <c r="B32" s="111" t="s">
        <v>467</v>
      </c>
      <c r="C32" s="111">
        <v>1430</v>
      </c>
      <c r="D32" s="112" t="s">
        <v>468</v>
      </c>
    </row>
    <row r="33" s="41" customFormat="1" ht="15" customHeight="1" spans="1:4">
      <c r="A33" s="109">
        <v>15</v>
      </c>
      <c r="B33" s="111" t="s">
        <v>469</v>
      </c>
      <c r="C33" s="111">
        <v>1483</v>
      </c>
      <c r="D33" s="112" t="s">
        <v>470</v>
      </c>
    </row>
    <row r="34" s="41" customFormat="1" ht="15" customHeight="1" spans="1:4">
      <c r="A34" s="109">
        <v>16</v>
      </c>
      <c r="B34" s="111" t="s">
        <v>471</v>
      </c>
      <c r="C34" s="111">
        <v>1462</v>
      </c>
      <c r="D34" s="112" t="s">
        <v>472</v>
      </c>
    </row>
    <row r="35" s="41" customFormat="1" ht="15" customHeight="1" spans="1:4">
      <c r="A35" s="109">
        <v>17</v>
      </c>
      <c r="B35" s="111" t="s">
        <v>473</v>
      </c>
      <c r="C35" s="111">
        <v>1520</v>
      </c>
      <c r="D35" s="112" t="s">
        <v>474</v>
      </c>
    </row>
    <row r="36" s="41" customFormat="1" ht="15" customHeight="1" spans="1:4">
      <c r="A36" s="109">
        <v>18</v>
      </c>
      <c r="B36" s="111" t="s">
        <v>475</v>
      </c>
      <c r="C36" s="111">
        <v>1542</v>
      </c>
      <c r="D36" s="112" t="s">
        <v>476</v>
      </c>
    </row>
    <row r="37" s="41" customFormat="1" ht="15" customHeight="1" spans="1:4">
      <c r="A37" s="109">
        <v>19</v>
      </c>
      <c r="B37" s="111" t="s">
        <v>477</v>
      </c>
      <c r="C37" s="111">
        <v>1520</v>
      </c>
      <c r="D37" s="112" t="s">
        <v>478</v>
      </c>
    </row>
    <row r="38" s="41" customFormat="1" ht="15" customHeight="1" spans="1:4">
      <c r="A38" s="109">
        <v>20</v>
      </c>
      <c r="B38" s="111" t="s">
        <v>479</v>
      </c>
      <c r="C38" s="111">
        <v>1541</v>
      </c>
      <c r="D38" s="112" t="s">
        <v>480</v>
      </c>
    </row>
    <row r="39" s="41" customFormat="1" ht="15" customHeight="1" spans="1:4">
      <c r="A39" s="109">
        <v>21</v>
      </c>
      <c r="B39" s="111" t="s">
        <v>481</v>
      </c>
      <c r="C39" s="111">
        <v>1542</v>
      </c>
      <c r="D39" s="112" t="s">
        <v>482</v>
      </c>
    </row>
    <row r="40" s="41" customFormat="1" ht="15" customHeight="1" spans="1:4">
      <c r="A40" s="109">
        <v>22</v>
      </c>
      <c r="B40" s="111" t="s">
        <v>483</v>
      </c>
      <c r="C40" s="111">
        <v>1481</v>
      </c>
      <c r="D40" s="112" t="s">
        <v>484</v>
      </c>
    </row>
    <row r="41" s="41" customFormat="1" ht="15" customHeight="1" spans="1:4">
      <c r="A41" s="109"/>
      <c r="B41" s="111"/>
      <c r="C41" s="111"/>
      <c r="D41" s="112"/>
    </row>
    <row r="42" s="41" customFormat="1" ht="15" customHeight="1" spans="1:4">
      <c r="A42" s="109" t="s">
        <v>251</v>
      </c>
      <c r="B42" s="111"/>
      <c r="C42" s="111">
        <f>SUM(C19:C40)</f>
        <v>31627</v>
      </c>
      <c r="D42" s="112"/>
    </row>
    <row r="43" s="41" customFormat="1" ht="15" customHeight="1" spans="1:4">
      <c r="A43" s="109"/>
      <c r="B43" s="111"/>
      <c r="C43" s="111"/>
      <c r="D43" s="112"/>
    </row>
    <row r="44" s="41" customFormat="1" ht="15" customHeight="1" spans="1:4">
      <c r="A44" s="135"/>
      <c r="B44" s="136"/>
      <c r="C44" s="137"/>
      <c r="D44" s="138"/>
    </row>
    <row r="45" s="41" customFormat="1" spans="1:4">
      <c r="A45" s="139" t="s">
        <v>252</v>
      </c>
      <c r="B45" s="140"/>
      <c r="C45" s="141"/>
      <c r="D45" s="142"/>
    </row>
    <row r="46" s="41" customFormat="1" spans="1:4">
      <c r="A46" s="128" t="s">
        <v>253</v>
      </c>
      <c r="B46" s="129"/>
      <c r="C46" s="129"/>
      <c r="D46" s="130"/>
    </row>
    <row r="47" s="41" customFormat="1" spans="1:4">
      <c r="A47" s="128" t="s">
        <v>254</v>
      </c>
      <c r="B47" s="108"/>
      <c r="C47" s="143"/>
      <c r="D47" s="132"/>
    </row>
    <row r="48" s="41" customFormat="1" spans="1:4">
      <c r="A48" s="119" t="s">
        <v>255</v>
      </c>
      <c r="B48" s="119"/>
      <c r="C48" s="133" t="s">
        <v>256</v>
      </c>
      <c r="D48" s="134"/>
    </row>
    <row r="49" s="41" customFormat="1" spans="1:8">
      <c r="A49" s="119" t="s">
        <v>257</v>
      </c>
      <c r="B49" s="119"/>
      <c r="C49" s="119" t="s">
        <v>258</v>
      </c>
      <c r="D49" s="120"/>
    </row>
    <row r="50" s="41" customFormat="1" spans="1:8">
      <c r="A50" s="144"/>
      <c r="B50" s="145"/>
      <c r="C50" s="145"/>
      <c r="D50"/>
    </row>
    <row r="51" s="41" customFormat="1" ht="12" customHeight="1" spans="1:8">
      <c r="A51" s="146"/>
      <c r="B51" s="145"/>
      <c r="C51" s="144"/>
      <c r="D51"/>
    </row>
    <row r="52" s="41" customFormat="1" spans="1:8">
      <c r="A52"/>
      <c r="B52"/>
      <c r="C52" s="41"/>
      <c r="D52"/>
    </row>
    <row r="53" s="41" customFormat="1" spans="1:8">
      <c r="A53"/>
      <c r="B53"/>
      <c r="C53"/>
      <c r="D53"/>
      <c r="E53" s="124"/>
      <c r="F53" s="124"/>
      <c r="G53" s="124"/>
      <c r="H53" s="124"/>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98" spans="1:4">
      <c r="A98"/>
      <c r="B98"/>
      <c r="C98"/>
      <c r="D98"/>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row r="108" spans="1:4">
      <c r="A108"/>
      <c r="B108"/>
      <c r="C108"/>
      <c r="D108"/>
    </row>
  </sheetData>
  <mergeCells count="8">
    <mergeCell ref="A3:B3"/>
    <mergeCell ref="A4:B4"/>
    <mergeCell ref="A5:C5"/>
    <mergeCell ref="A6:D6"/>
    <mergeCell ref="A9:B9"/>
    <mergeCell ref="A41:C41"/>
    <mergeCell ref="A1:D2"/>
    <mergeCell ref="C13:D14"/>
  </mergeCells>
  <pageMargins left="0.7" right="0.7" top="0.75" bottom="0.75" header="0.3" footer="0.3"/>
  <pageSetup paperSize="9" scale="94"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8"/>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42" t="s">
        <v>259</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BP!B18</f>
        <v>EX202609-0512</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IF(BP!C18="","",BP!C18)</f>
        <v>FWH557L</v>
      </c>
      <c r="D10" s="91"/>
    </row>
    <row r="11" s="41" customFormat="1" spans="1:4">
      <c r="A11" s="91" t="s">
        <v>194</v>
      </c>
      <c r="B11" s="98" t="str">
        <f>IF(BP!D18="","",BP!D18)</f>
        <v>FPC417L</v>
      </c>
      <c r="C11" s="93" t="s">
        <v>195</v>
      </c>
      <c r="D11" s="94" t="str">
        <f>IF(BP!E18="","",BP!E18)</f>
        <v>FPC421L</v>
      </c>
    </row>
    <row r="12" s="41" customFormat="1" spans="1:4">
      <c r="A12" s="91" t="s">
        <v>196</v>
      </c>
      <c r="B12" s="98" t="str">
        <f>IF(BP!G18="","",BP!G18)</f>
        <v>GRESTEN MWEEMBA</v>
      </c>
      <c r="C12" s="99" t="s">
        <v>197</v>
      </c>
      <c r="D12" s="91" t="str">
        <f>IF(BP!H18="","",BP!H18)</f>
        <v>ZN904984</v>
      </c>
    </row>
    <row r="13" s="41" customFormat="1" spans="1:4">
      <c r="A13" s="91" t="s">
        <v>198</v>
      </c>
      <c r="B13" s="91"/>
      <c r="C13" s="100"/>
      <c r="D13" s="100"/>
    </row>
    <row r="14" s="41" customFormat="1" ht="15" customHeight="1" spans="1:4">
      <c r="A14" s="91" t="s">
        <v>199</v>
      </c>
      <c r="B14" s="94" t="str">
        <f>IF(BP!I18="","",BP!I18)</f>
        <v>GREENDOOR GROUP (PTY) LTD</v>
      </c>
      <c r="C14" s="100"/>
      <c r="D14" s="100"/>
    </row>
    <row r="15" s="41" customFormat="1" ht="15" customHeight="1" spans="1:4">
      <c r="A15" s="95" t="s">
        <v>200</v>
      </c>
      <c r="B15" s="101" t="s">
        <v>201</v>
      </c>
      <c r="C15" s="102"/>
      <c r="D15" s="102"/>
    </row>
    <row r="16" s="41" customFormat="1" ht="15" customHeight="1" spans="1:4">
      <c r="A16" s="95" t="s">
        <v>202</v>
      </c>
      <c r="B16" s="101" t="str">
        <f>IF(BP!J18="","",BP!J18)</f>
        <v>DURBAN</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25" t="s">
        <v>485</v>
      </c>
      <c r="C19" s="125">
        <v>1385</v>
      </c>
      <c r="D19" s="125" t="s">
        <v>486</v>
      </c>
    </row>
    <row r="20" s="41" customFormat="1" ht="15" customHeight="1" spans="1:4">
      <c r="A20" s="109">
        <v>2</v>
      </c>
      <c r="B20" s="125" t="s">
        <v>487</v>
      </c>
      <c r="C20" s="125">
        <v>1473</v>
      </c>
      <c r="D20" s="125" t="s">
        <v>488</v>
      </c>
    </row>
    <row r="21" s="41" customFormat="1" ht="15" customHeight="1" spans="1:4">
      <c r="A21" s="109">
        <v>3</v>
      </c>
      <c r="B21" s="125" t="s">
        <v>489</v>
      </c>
      <c r="C21" s="125">
        <v>1329</v>
      </c>
      <c r="D21" s="125" t="s">
        <v>490</v>
      </c>
    </row>
    <row r="22" s="41" customFormat="1" ht="15" customHeight="1" spans="1:4">
      <c r="A22" s="109">
        <v>4</v>
      </c>
      <c r="B22" s="125" t="s">
        <v>491</v>
      </c>
      <c r="C22" s="125">
        <v>1403</v>
      </c>
      <c r="D22" s="125" t="s">
        <v>492</v>
      </c>
    </row>
    <row r="23" s="41" customFormat="1" ht="15" customHeight="1" spans="1:4">
      <c r="A23" s="109">
        <v>5</v>
      </c>
      <c r="B23" s="125" t="s">
        <v>493</v>
      </c>
      <c r="C23" s="125">
        <v>1362</v>
      </c>
      <c r="D23" s="125" t="s">
        <v>494</v>
      </c>
    </row>
    <row r="24" s="41" customFormat="1" ht="15" customHeight="1" spans="1:4">
      <c r="A24" s="109">
        <v>6</v>
      </c>
      <c r="B24" s="125" t="s">
        <v>495</v>
      </c>
      <c r="C24" s="125">
        <v>1410</v>
      </c>
      <c r="D24" s="125" t="s">
        <v>496</v>
      </c>
    </row>
    <row r="25" s="41" customFormat="1" ht="15" customHeight="1" spans="1:4">
      <c r="A25" s="109">
        <v>7</v>
      </c>
      <c r="B25" s="125" t="s">
        <v>497</v>
      </c>
      <c r="C25" s="125">
        <v>1420</v>
      </c>
      <c r="D25" s="125" t="s">
        <v>498</v>
      </c>
    </row>
    <row r="26" s="41" customFormat="1" ht="15" customHeight="1" spans="1:4">
      <c r="A26" s="109">
        <v>8</v>
      </c>
      <c r="B26" s="125" t="s">
        <v>499</v>
      </c>
      <c r="C26" s="125">
        <v>1330</v>
      </c>
      <c r="D26" s="125" t="s">
        <v>500</v>
      </c>
    </row>
    <row r="27" s="41" customFormat="1" ht="15" customHeight="1" spans="1:4">
      <c r="A27" s="109">
        <v>9</v>
      </c>
      <c r="B27" s="125" t="s">
        <v>501</v>
      </c>
      <c r="C27" s="125">
        <v>1378</v>
      </c>
      <c r="D27" s="125" t="s">
        <v>502</v>
      </c>
    </row>
    <row r="28" s="41" customFormat="1" ht="15" customHeight="1" spans="1:4">
      <c r="A28" s="109">
        <v>10</v>
      </c>
      <c r="B28" s="125" t="s">
        <v>503</v>
      </c>
      <c r="C28" s="125">
        <v>1351</v>
      </c>
      <c r="D28" s="125" t="s">
        <v>504</v>
      </c>
    </row>
    <row r="29" s="41" customFormat="1" ht="15" customHeight="1" spans="1:4">
      <c r="A29" s="109">
        <v>11</v>
      </c>
      <c r="B29" s="125" t="s">
        <v>505</v>
      </c>
      <c r="C29" s="125">
        <v>1361</v>
      </c>
      <c r="D29" s="125" t="s">
        <v>506</v>
      </c>
    </row>
    <row r="30" s="41" customFormat="1" ht="15" customHeight="1" spans="1:4">
      <c r="A30" s="109">
        <v>12</v>
      </c>
      <c r="B30" s="125" t="s">
        <v>507</v>
      </c>
      <c r="C30" s="125">
        <v>1407</v>
      </c>
      <c r="D30" s="125" t="s">
        <v>508</v>
      </c>
    </row>
    <row r="31" s="41" customFormat="1" ht="15" customHeight="1" spans="1:4">
      <c r="A31" s="109">
        <v>13</v>
      </c>
      <c r="B31" s="125" t="s">
        <v>509</v>
      </c>
      <c r="C31" s="125">
        <v>1423</v>
      </c>
      <c r="D31" s="125" t="s">
        <v>510</v>
      </c>
    </row>
    <row r="32" s="41" customFormat="1" ht="15" customHeight="1" spans="1:4">
      <c r="A32" s="109">
        <v>14</v>
      </c>
      <c r="B32" s="125" t="s">
        <v>511</v>
      </c>
      <c r="C32" s="125">
        <v>1345</v>
      </c>
      <c r="D32" s="125" t="s">
        <v>512</v>
      </c>
    </row>
    <row r="33" s="41" customFormat="1" ht="15" customHeight="1" spans="1:4">
      <c r="A33" s="109">
        <v>15</v>
      </c>
      <c r="B33" s="125" t="s">
        <v>513</v>
      </c>
      <c r="C33" s="125">
        <v>1440</v>
      </c>
      <c r="D33" s="125" t="s">
        <v>514</v>
      </c>
    </row>
    <row r="34" s="41" customFormat="1" ht="15" customHeight="1" spans="1:4">
      <c r="A34" s="109">
        <v>16</v>
      </c>
      <c r="B34" s="125" t="s">
        <v>515</v>
      </c>
      <c r="C34" s="125">
        <v>1296</v>
      </c>
      <c r="D34" s="125" t="s">
        <v>516</v>
      </c>
    </row>
    <row r="35" s="41" customFormat="1" ht="15" customHeight="1" spans="1:4">
      <c r="A35" s="109">
        <v>17</v>
      </c>
      <c r="B35" s="125" t="s">
        <v>517</v>
      </c>
      <c r="C35" s="125">
        <v>1417</v>
      </c>
      <c r="D35" s="125" t="s">
        <v>518</v>
      </c>
    </row>
    <row r="36" s="41" customFormat="1" ht="15" customHeight="1" spans="1:4">
      <c r="A36" s="109">
        <v>18</v>
      </c>
      <c r="B36" s="125" t="s">
        <v>519</v>
      </c>
      <c r="C36" s="125">
        <v>1333</v>
      </c>
      <c r="D36" s="125" t="s">
        <v>520</v>
      </c>
    </row>
    <row r="37" s="41" customFormat="1" ht="15" customHeight="1" spans="1:4">
      <c r="A37" s="109">
        <v>19</v>
      </c>
      <c r="B37" s="125" t="s">
        <v>521</v>
      </c>
      <c r="C37" s="125">
        <v>1389</v>
      </c>
      <c r="D37" s="125" t="s">
        <v>522</v>
      </c>
    </row>
    <row r="38" s="41" customFormat="1" ht="15" customHeight="1" spans="1:4">
      <c r="A38" s="109">
        <v>20</v>
      </c>
      <c r="B38" s="125" t="s">
        <v>523</v>
      </c>
      <c r="C38" s="125">
        <v>1481</v>
      </c>
      <c r="D38" s="125" t="s">
        <v>524</v>
      </c>
    </row>
    <row r="39" s="41" customFormat="1" ht="15" customHeight="1" spans="1:4">
      <c r="A39" s="109">
        <v>21</v>
      </c>
      <c r="B39" s="125" t="s">
        <v>525</v>
      </c>
      <c r="C39" s="125">
        <v>1469</v>
      </c>
      <c r="D39" s="125" t="s">
        <v>526</v>
      </c>
    </row>
    <row r="40" s="41" customFormat="1" ht="15" customHeight="1" spans="1:4">
      <c r="A40" s="109">
        <v>22</v>
      </c>
      <c r="B40" s="125" t="s">
        <v>527</v>
      </c>
      <c r="C40" s="125">
        <v>1484</v>
      </c>
      <c r="D40" s="125" t="s">
        <v>528</v>
      </c>
    </row>
    <row r="41" s="41" customFormat="1" ht="15" customHeight="1" spans="1:4">
      <c r="A41" s="109">
        <v>23</v>
      </c>
      <c r="B41" s="111" t="s">
        <v>529</v>
      </c>
      <c r="C41" s="111">
        <v>1441</v>
      </c>
      <c r="D41" s="112" t="s">
        <v>530</v>
      </c>
    </row>
    <row r="42" s="41" customFormat="1" ht="15" customHeight="1" spans="1:4">
      <c r="A42" s="126">
        <v>24</v>
      </c>
      <c r="B42" s="109" t="s">
        <v>531</v>
      </c>
      <c r="C42" s="114">
        <v>1456</v>
      </c>
      <c r="D42" s="115" t="s">
        <v>532</v>
      </c>
    </row>
    <row r="43" s="41" customFormat="1" ht="15" customHeight="1" spans="1:4">
      <c r="A43" s="127"/>
      <c r="B43" s="109"/>
      <c r="C43" s="116"/>
      <c r="D43" s="115"/>
    </row>
    <row r="44" s="41" customFormat="1" ht="15" customHeight="1" spans="1:4">
      <c r="A44" s="128" t="s">
        <v>251</v>
      </c>
      <c r="B44" s="129"/>
      <c r="C44" s="129">
        <f>SUM(C19:C42)</f>
        <v>33583</v>
      </c>
      <c r="D44" s="130"/>
    </row>
    <row r="45" s="41" customFormat="1" spans="1:4">
      <c r="A45" s="128"/>
      <c r="B45" s="108"/>
      <c r="C45" s="131"/>
      <c r="D45" s="132"/>
    </row>
    <row r="46" s="41" customFormat="1" spans="1:4">
      <c r="A46" s="119"/>
      <c r="B46" s="119"/>
      <c r="C46" s="133"/>
      <c r="D46" s="134"/>
    </row>
    <row r="47" s="41" customFormat="1" spans="1:4">
      <c r="A47" s="119" t="s">
        <v>252</v>
      </c>
      <c r="B47" s="119"/>
      <c r="C47" s="119"/>
      <c r="D47" s="120"/>
    </row>
    <row r="48" s="41" customFormat="1" spans="1:4">
      <c r="A48" s="121" t="s">
        <v>253</v>
      </c>
      <c r="B48" s="121"/>
      <c r="C48" s="121"/>
      <c r="D48" s="122"/>
    </row>
    <row r="49" s="41" customFormat="1" spans="1:8">
      <c r="A49" s="121" t="s">
        <v>254</v>
      </c>
      <c r="B49" s="122"/>
      <c r="C49" s="122"/>
      <c r="D49" s="122"/>
    </row>
    <row r="50" s="41" customFormat="1" ht="12" customHeight="1" spans="1:8">
      <c r="A50" s="123" t="s">
        <v>255</v>
      </c>
      <c r="B50" s="122"/>
      <c r="C50" s="121" t="s">
        <v>256</v>
      </c>
      <c r="D50" s="122"/>
    </row>
    <row r="51" s="41" customFormat="1" spans="1:8">
      <c r="A51" t="s">
        <v>257</v>
      </c>
      <c r="B51"/>
      <c r="C51" s="41" t="s">
        <v>258</v>
      </c>
      <c r="D51"/>
    </row>
    <row r="52" s="41" customFormat="1" spans="1:8">
      <c r="A52"/>
      <c r="B52"/>
      <c r="C52"/>
      <c r="D52"/>
      <c r="E52" s="124"/>
      <c r="F52" s="124"/>
      <c r="G52" s="124"/>
      <c r="H52" s="124"/>
    </row>
    <row r="53" spans="1:8">
      <c r="A53"/>
      <c r="B53"/>
      <c r="C53"/>
      <c r="D53"/>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98" spans="1:4">
      <c r="A98"/>
      <c r="B98"/>
      <c r="C98"/>
      <c r="D98"/>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row r="108" spans="1:4">
      <c r="A108"/>
      <c r="B108"/>
      <c r="C108"/>
      <c r="D108"/>
    </row>
  </sheetData>
  <mergeCells count="9">
    <mergeCell ref="A3:B3"/>
    <mergeCell ref="A4:B4"/>
    <mergeCell ref="A5:C5"/>
    <mergeCell ref="A6:D6"/>
    <mergeCell ref="A9:B9"/>
    <mergeCell ref="A43:C43"/>
    <mergeCell ref="A48:C48"/>
    <mergeCell ref="A1:D2"/>
    <mergeCell ref="C13:D14"/>
  </mergeCells>
  <pageMargins left="0.7" right="0.7" top="0.75" bottom="0.75" header="0.3" footer="0.3"/>
  <pageSetup paperSize="9" scale="8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07"/>
  <sheetViews>
    <sheetView workbookViewId="0">
      <selection activeCell="A1" sqref="A1:D2"/>
    </sheetView>
  </sheetViews>
  <sheetFormatPr defaultColWidth="10" defaultRowHeight="17.6" outlineLevelCol="7"/>
  <cols>
    <col min="1" max="1" width="21.8942307692308" style="41" customWidth="1"/>
    <col min="2" max="2" width="27.2211538461538" style="41" customWidth="1"/>
    <col min="3" max="3" width="25.3365384615385" style="41" customWidth="1"/>
    <col min="4" max="4" width="17.4423076923077" style="41" customWidth="1"/>
    <col min="5" max="16384" width="10" style="41"/>
  </cols>
  <sheetData>
    <row r="1" s="41" customFormat="1" ht="14.25" customHeight="1" spans="1:4">
      <c r="A1" s="89" t="s">
        <v>358</v>
      </c>
      <c r="B1" s="42"/>
      <c r="C1" s="42"/>
      <c r="D1" s="42"/>
    </row>
    <row r="2" s="41" customFormat="1" ht="14.25" customHeight="1" spans="1:4">
      <c r="A2" s="42"/>
      <c r="B2" s="42"/>
      <c r="C2" s="42"/>
      <c r="D2" s="42"/>
    </row>
    <row r="3" s="41" customFormat="1" spans="1:4">
      <c r="A3" s="43" t="s">
        <v>1</v>
      </c>
      <c r="B3" s="43"/>
      <c r="D3" s="45" t="s">
        <v>186</v>
      </c>
    </row>
    <row r="4" s="41" customFormat="1" spans="1:4">
      <c r="A4" s="43" t="s">
        <v>3</v>
      </c>
      <c r="B4" s="43"/>
      <c r="D4" s="45" t="s">
        <v>4</v>
      </c>
    </row>
    <row r="5" s="41" customFormat="1" spans="1:4">
      <c r="A5" s="43" t="s">
        <v>5</v>
      </c>
      <c r="B5" s="43"/>
      <c r="C5" s="43"/>
      <c r="D5" s="46"/>
    </row>
    <row r="6" s="41" customFormat="1" ht="18.35" spans="1:4">
      <c r="A6" s="90" t="s">
        <v>187</v>
      </c>
      <c r="B6" s="90"/>
      <c r="C6" s="90"/>
      <c r="D6" s="90"/>
    </row>
    <row r="7" s="41" customFormat="1" ht="22.5" customHeight="1" spans="1:4">
      <c r="A7" s="91" t="s">
        <v>188</v>
      </c>
      <c r="B7" s="92" t="s">
        <v>189</v>
      </c>
      <c r="C7" s="93" t="s">
        <v>190</v>
      </c>
      <c r="D7" s="94" t="str">
        <f>BP!B19</f>
        <v>EX202609-0513</v>
      </c>
    </row>
    <row r="8" s="41" customFormat="1" spans="1:4">
      <c r="A8" s="95" t="s">
        <v>191</v>
      </c>
      <c r="B8" s="57">
        <f>BP!M41</f>
        <v>46276</v>
      </c>
      <c r="C8" s="96"/>
      <c r="D8" s="95"/>
    </row>
    <row r="9" s="41" customFormat="1" spans="1:4">
      <c r="A9" s="93" t="s">
        <v>192</v>
      </c>
      <c r="B9" s="93"/>
      <c r="C9" s="95"/>
      <c r="D9" s="97"/>
    </row>
    <row r="10" s="41" customFormat="1" spans="1:4">
      <c r="A10" s="91" t="s">
        <v>193</v>
      </c>
      <c r="B10" s="94" t="str">
        <f>IF(BP!C19="","",BP!C19)</f>
        <v>FPV477L</v>
      </c>
      <c r="D10" s="91"/>
    </row>
    <row r="11" s="41" customFormat="1" spans="1:4">
      <c r="A11" s="91" t="s">
        <v>194</v>
      </c>
      <c r="B11" s="98" t="str">
        <f>IF(BP!D19="","",BP!D19)</f>
        <v>FMG170L</v>
      </c>
      <c r="C11" s="93" t="s">
        <v>195</v>
      </c>
      <c r="D11" s="94" t="str">
        <f>IF(BP!E19="","",BP!E19)</f>
        <v>FMG167L</v>
      </c>
    </row>
    <row r="12" s="41" customFormat="1" spans="1:4">
      <c r="A12" s="91" t="s">
        <v>196</v>
      </c>
      <c r="B12" s="98" t="str">
        <f>IF(BP!G19="","",BP!G19)</f>
        <v>BRIGHT FUNDA</v>
      </c>
      <c r="C12" s="99" t="s">
        <v>197</v>
      </c>
      <c r="D12" s="91" t="str">
        <f>IF(BP!H19="","",BP!H19)</f>
        <v>ZP106451</v>
      </c>
    </row>
    <row r="13" s="41" customFormat="1" spans="1:4">
      <c r="A13" s="91" t="s">
        <v>198</v>
      </c>
      <c r="B13" s="91"/>
      <c r="C13" s="100"/>
      <c r="D13" s="100"/>
    </row>
    <row r="14" s="41" customFormat="1" ht="15" customHeight="1" spans="1:4">
      <c r="A14" s="91" t="s">
        <v>199</v>
      </c>
      <c r="B14" s="94" t="str">
        <f>IF(BP!I19="","",BP!I19)</f>
        <v>GREENDOOR GROUP (PTY) LTD</v>
      </c>
      <c r="C14" s="100"/>
      <c r="D14" s="100"/>
    </row>
    <row r="15" s="41" customFormat="1" ht="15" customHeight="1" spans="1:4">
      <c r="A15" s="95" t="s">
        <v>200</v>
      </c>
      <c r="B15" s="101" t="s">
        <v>201</v>
      </c>
      <c r="C15" s="102"/>
      <c r="D15" s="102"/>
    </row>
    <row r="16" s="41" customFormat="1" ht="15" customHeight="1" spans="1:4">
      <c r="A16" s="95" t="s">
        <v>202</v>
      </c>
      <c r="B16" s="101" t="str">
        <f>IF(BP!J19="","",BP!J19)</f>
        <v>DURBAN</v>
      </c>
      <c r="C16" s="102"/>
      <c r="D16" s="102"/>
    </row>
    <row r="17" s="41" customFormat="1" ht="15" customHeight="1" spans="1:4">
      <c r="A17" s="95" t="s">
        <v>203</v>
      </c>
      <c r="B17" s="103" t="str">
        <f>BP!K7</f>
        <v>CONNEX</v>
      </c>
      <c r="C17" s="102"/>
      <c r="D17" s="102"/>
    </row>
    <row r="18" s="41" customFormat="1" ht="22" customHeight="1" spans="1:4">
      <c r="A18" s="109" t="s">
        <v>16</v>
      </c>
      <c r="B18" s="110" t="s">
        <v>204</v>
      </c>
      <c r="C18" s="109" t="s">
        <v>205</v>
      </c>
      <c r="D18" s="109" t="s">
        <v>206</v>
      </c>
    </row>
    <row r="19" s="41" customFormat="1" ht="15" customHeight="1" spans="1:4">
      <c r="A19" s="109">
        <v>1</v>
      </c>
      <c r="B19" s="111" t="s">
        <v>533</v>
      </c>
      <c r="C19" s="111">
        <v>1326</v>
      </c>
      <c r="D19" s="112" t="s">
        <v>534</v>
      </c>
    </row>
    <row r="20" s="41" customFormat="1" ht="15" customHeight="1" spans="1:4">
      <c r="A20" s="109">
        <v>2</v>
      </c>
      <c r="B20" s="111" t="s">
        <v>535</v>
      </c>
      <c r="C20" s="111">
        <v>1451</v>
      </c>
      <c r="D20" s="112" t="s">
        <v>536</v>
      </c>
    </row>
    <row r="21" s="41" customFormat="1" ht="15" customHeight="1" spans="1:4">
      <c r="A21" s="109">
        <v>3</v>
      </c>
      <c r="B21" s="111" t="s">
        <v>537</v>
      </c>
      <c r="C21" s="111">
        <v>1356</v>
      </c>
      <c r="D21" s="112" t="s">
        <v>538</v>
      </c>
    </row>
    <row r="22" s="41" customFormat="1" ht="15" customHeight="1" spans="1:4">
      <c r="A22" s="109">
        <v>4</v>
      </c>
      <c r="B22" s="111" t="s">
        <v>539</v>
      </c>
      <c r="C22" s="111">
        <v>1368</v>
      </c>
      <c r="D22" s="112" t="s">
        <v>540</v>
      </c>
    </row>
    <row r="23" s="41" customFormat="1" ht="15" customHeight="1" spans="1:4">
      <c r="A23" s="109">
        <v>5</v>
      </c>
      <c r="B23" s="111" t="s">
        <v>541</v>
      </c>
      <c r="C23" s="111">
        <v>1357</v>
      </c>
      <c r="D23" s="112" t="s">
        <v>542</v>
      </c>
    </row>
    <row r="24" s="41" customFormat="1" ht="15" customHeight="1" spans="1:4">
      <c r="A24" s="109">
        <v>6</v>
      </c>
      <c r="B24" s="111" t="s">
        <v>543</v>
      </c>
      <c r="C24" s="111">
        <v>1296</v>
      </c>
      <c r="D24" s="112" t="s">
        <v>544</v>
      </c>
    </row>
    <row r="25" s="41" customFormat="1" ht="15" customHeight="1" spans="1:4">
      <c r="A25" s="109">
        <v>7</v>
      </c>
      <c r="B25" s="111" t="s">
        <v>545</v>
      </c>
      <c r="C25" s="111">
        <v>1436</v>
      </c>
      <c r="D25" s="112" t="s">
        <v>546</v>
      </c>
    </row>
    <row r="26" s="41" customFormat="1" ht="15" customHeight="1" spans="1:4">
      <c r="A26" s="109">
        <v>8</v>
      </c>
      <c r="B26" s="111" t="s">
        <v>547</v>
      </c>
      <c r="C26" s="111">
        <v>1451</v>
      </c>
      <c r="D26" s="112" t="s">
        <v>548</v>
      </c>
    </row>
    <row r="27" s="41" customFormat="1" ht="15" customHeight="1" spans="1:4">
      <c r="A27" s="109">
        <v>9</v>
      </c>
      <c r="B27" s="111" t="s">
        <v>549</v>
      </c>
      <c r="C27" s="111">
        <v>1333</v>
      </c>
      <c r="D27" s="112" t="s">
        <v>550</v>
      </c>
    </row>
    <row r="28" s="41" customFormat="1" ht="15" customHeight="1" spans="1:4">
      <c r="A28" s="109">
        <v>10</v>
      </c>
      <c r="B28" s="111" t="s">
        <v>551</v>
      </c>
      <c r="C28" s="111">
        <v>1301</v>
      </c>
      <c r="D28" s="112" t="s">
        <v>552</v>
      </c>
    </row>
    <row r="29" s="41" customFormat="1" ht="15" customHeight="1" spans="1:4">
      <c r="A29" s="109">
        <v>11</v>
      </c>
      <c r="B29" s="111" t="s">
        <v>553</v>
      </c>
      <c r="C29" s="111">
        <v>1409</v>
      </c>
      <c r="D29" s="112" t="s">
        <v>554</v>
      </c>
    </row>
    <row r="30" s="41" customFormat="1" ht="15" customHeight="1" spans="1:4">
      <c r="A30" s="109">
        <v>12</v>
      </c>
      <c r="B30" s="111" t="s">
        <v>555</v>
      </c>
      <c r="C30" s="111">
        <v>1250</v>
      </c>
      <c r="D30" s="112" t="s">
        <v>556</v>
      </c>
    </row>
    <row r="31" s="41" customFormat="1" ht="15" customHeight="1" spans="1:4">
      <c r="A31" s="109">
        <v>13</v>
      </c>
      <c r="B31" s="111" t="s">
        <v>557</v>
      </c>
      <c r="C31" s="111">
        <v>1492</v>
      </c>
      <c r="D31" s="112" t="s">
        <v>558</v>
      </c>
    </row>
    <row r="32" s="41" customFormat="1" ht="15" customHeight="1" spans="1:4">
      <c r="A32" s="109">
        <v>14</v>
      </c>
      <c r="B32" s="111" t="s">
        <v>559</v>
      </c>
      <c r="C32" s="111">
        <v>1328</v>
      </c>
      <c r="D32" s="112" t="s">
        <v>560</v>
      </c>
    </row>
    <row r="33" s="41" customFormat="1" ht="15" customHeight="1" spans="1:4">
      <c r="A33" s="109">
        <v>15</v>
      </c>
      <c r="B33" s="111" t="s">
        <v>561</v>
      </c>
      <c r="C33" s="111">
        <v>1374</v>
      </c>
      <c r="D33" s="112" t="s">
        <v>562</v>
      </c>
    </row>
    <row r="34" s="41" customFormat="1" ht="15" customHeight="1" spans="1:4">
      <c r="A34" s="109">
        <v>16</v>
      </c>
      <c r="B34" s="111" t="s">
        <v>563</v>
      </c>
      <c r="C34" s="111">
        <v>1363</v>
      </c>
      <c r="D34" s="112" t="s">
        <v>564</v>
      </c>
    </row>
    <row r="35" s="41" customFormat="1" ht="15" customHeight="1" spans="1:4">
      <c r="A35" s="109">
        <v>17</v>
      </c>
      <c r="B35" s="111" t="s">
        <v>565</v>
      </c>
      <c r="C35" s="111">
        <v>1384</v>
      </c>
      <c r="D35" s="112" t="s">
        <v>566</v>
      </c>
    </row>
    <row r="36" s="41" customFormat="1" ht="15" customHeight="1" spans="1:4">
      <c r="A36" s="109">
        <v>18</v>
      </c>
      <c r="B36" s="111" t="s">
        <v>567</v>
      </c>
      <c r="C36" s="111">
        <v>1371</v>
      </c>
      <c r="D36" s="112" t="s">
        <v>568</v>
      </c>
    </row>
    <row r="37" s="41" customFormat="1" ht="15" customHeight="1" spans="1:4">
      <c r="A37" s="109">
        <v>19</v>
      </c>
      <c r="B37" s="111" t="s">
        <v>569</v>
      </c>
      <c r="C37" s="111">
        <v>1361</v>
      </c>
      <c r="D37" s="112" t="s">
        <v>570</v>
      </c>
    </row>
    <row r="38" s="41" customFormat="1" ht="15" customHeight="1" spans="1:4">
      <c r="A38" s="109">
        <v>20</v>
      </c>
      <c r="B38" s="111" t="s">
        <v>571</v>
      </c>
      <c r="C38" s="111">
        <v>1298</v>
      </c>
      <c r="D38" s="112" t="s">
        <v>572</v>
      </c>
    </row>
    <row r="39" s="41" customFormat="1" ht="15" customHeight="1" spans="1:4">
      <c r="A39" s="109">
        <v>21</v>
      </c>
      <c r="B39" s="111" t="s">
        <v>573</v>
      </c>
      <c r="C39" s="111">
        <v>1547</v>
      </c>
      <c r="D39" s="112" t="s">
        <v>574</v>
      </c>
    </row>
    <row r="40" s="106" customFormat="1" ht="15" customHeight="1" spans="1:4">
      <c r="A40" s="109">
        <v>22</v>
      </c>
      <c r="B40" s="111" t="s">
        <v>575</v>
      </c>
      <c r="C40" s="111">
        <v>1577</v>
      </c>
      <c r="D40" s="112" t="s">
        <v>576</v>
      </c>
    </row>
    <row r="41" s="107" customFormat="1" ht="15" customHeight="1" spans="1:4">
      <c r="A41" s="109">
        <v>23</v>
      </c>
      <c r="B41" s="112" t="s">
        <v>577</v>
      </c>
      <c r="C41" s="112">
        <v>1576</v>
      </c>
      <c r="D41" s="112" t="s">
        <v>578</v>
      </c>
    </row>
    <row r="42" s="107" customFormat="1" ht="15" customHeight="1" spans="1:4">
      <c r="A42" s="113">
        <v>24</v>
      </c>
      <c r="B42" s="113" t="s">
        <v>579</v>
      </c>
      <c r="C42" s="114">
        <v>1571</v>
      </c>
      <c r="D42" s="115" t="s">
        <v>580</v>
      </c>
    </row>
    <row r="43" s="108" customFormat="1" ht="15" customHeight="1" spans="1:4">
      <c r="A43" s="113"/>
      <c r="B43" s="113"/>
      <c r="C43" s="116"/>
      <c r="D43" s="115"/>
    </row>
    <row r="44" s="108" customFormat="1" ht="15" customHeight="1" spans="1:4">
      <c r="A44" s="113" t="s">
        <v>251</v>
      </c>
      <c r="B44" s="113"/>
      <c r="C44" s="117">
        <f>SUM(C19:C42)</f>
        <v>33576</v>
      </c>
      <c r="D44" s="118"/>
    </row>
    <row r="45" s="108" customFormat="1" ht="15" customHeight="1" spans="1:4">
      <c r="A45" s="113"/>
      <c r="B45" s="113"/>
      <c r="C45" s="116"/>
      <c r="D45" s="116"/>
    </row>
    <row r="46" s="108" customFormat="1" ht="15" customHeight="1" spans="1:4">
      <c r="A46" s="113"/>
      <c r="B46" s="113"/>
      <c r="C46" s="116"/>
      <c r="D46" s="116"/>
    </row>
    <row r="47" s="108" customFormat="1" ht="14.4" spans="1:4">
      <c r="A47" s="119" t="s">
        <v>252</v>
      </c>
      <c r="B47" s="119"/>
      <c r="C47" s="119"/>
      <c r="D47" s="120"/>
    </row>
    <row r="48" s="41" customFormat="1" spans="1:4">
      <c r="A48" s="121" t="s">
        <v>253</v>
      </c>
      <c r="B48" s="121"/>
      <c r="C48" s="121"/>
      <c r="D48" s="122"/>
    </row>
    <row r="49" s="41" customFormat="1" ht="12" customHeight="1" spans="1:8">
      <c r="A49" s="121" t="s">
        <v>254</v>
      </c>
      <c r="B49" s="122"/>
      <c r="C49" s="122"/>
      <c r="D49" s="122"/>
    </row>
    <row r="50" s="41" customFormat="1" spans="1:8">
      <c r="A50" s="123" t="s">
        <v>255</v>
      </c>
      <c r="B50" s="122"/>
      <c r="C50" s="121" t="s">
        <v>256</v>
      </c>
      <c r="D50" s="122"/>
    </row>
    <row r="51" s="41" customFormat="1" spans="1:8">
      <c r="A51" t="s">
        <v>257</v>
      </c>
      <c r="B51"/>
      <c r="C51" t="s">
        <v>258</v>
      </c>
      <c r="D51"/>
      <c r="E51" s="124"/>
      <c r="F51" s="124"/>
      <c r="G51" s="124"/>
      <c r="H51" s="124"/>
    </row>
    <row r="52" spans="1:8">
      <c r="A52"/>
      <c r="B52"/>
      <c r="C52"/>
      <c r="D52"/>
    </row>
    <row r="53" spans="1:8">
      <c r="A53"/>
      <c r="B53"/>
      <c r="C53"/>
      <c r="D53"/>
    </row>
    <row r="54" spans="1:8">
      <c r="A54"/>
      <c r="B54"/>
      <c r="C54"/>
      <c r="D54"/>
    </row>
    <row r="55" spans="1:8">
      <c r="A55"/>
      <c r="B55"/>
      <c r="C55"/>
      <c r="D55"/>
    </row>
    <row r="75" spans="1:4">
      <c r="A75"/>
      <c r="B75"/>
      <c r="C75"/>
      <c r="D75"/>
    </row>
    <row r="80" spans="1:4">
      <c r="A80"/>
      <c r="B80"/>
      <c r="C80"/>
      <c r="D80"/>
    </row>
    <row r="81" spans="1:4">
      <c r="A81"/>
      <c r="B81"/>
      <c r="C81"/>
      <c r="D81"/>
    </row>
    <row r="82" spans="1:4">
      <c r="A82"/>
      <c r="B82"/>
      <c r="C82"/>
      <c r="D82"/>
    </row>
    <row r="83" spans="1:4">
      <c r="A83"/>
      <c r="B83"/>
      <c r="C83"/>
      <c r="D83"/>
    </row>
    <row r="84" spans="1:4">
      <c r="A84"/>
      <c r="B84"/>
      <c r="C84"/>
      <c r="D84"/>
    </row>
    <row r="85" spans="1:4">
      <c r="A85"/>
      <c r="B85"/>
      <c r="C85"/>
      <c r="D85"/>
    </row>
    <row r="86" spans="1:4">
      <c r="A86"/>
      <c r="B86"/>
      <c r="C86"/>
      <c r="D86"/>
    </row>
    <row r="87" spans="1:4">
      <c r="A87"/>
      <c r="B87"/>
      <c r="C87"/>
      <c r="D87"/>
    </row>
    <row r="90" spans="1:4">
      <c r="A90"/>
      <c r="B90"/>
      <c r="C90"/>
      <c r="D90"/>
    </row>
    <row r="91" spans="1:4">
      <c r="A91"/>
      <c r="B91"/>
      <c r="C91"/>
      <c r="D91"/>
    </row>
    <row r="92" spans="1:4">
      <c r="A92"/>
      <c r="B92"/>
      <c r="C92"/>
      <c r="D92"/>
    </row>
    <row r="93" spans="1:4">
      <c r="A93"/>
      <c r="B93"/>
      <c r="C93"/>
      <c r="D93"/>
    </row>
    <row r="94" spans="1:4">
      <c r="A94"/>
      <c r="B94"/>
      <c r="C94"/>
      <c r="D94"/>
    </row>
    <row r="95" spans="1:4">
      <c r="A95"/>
      <c r="B95"/>
      <c r="C95"/>
      <c r="D95"/>
    </row>
    <row r="96" spans="1:4">
      <c r="A96"/>
      <c r="B96"/>
      <c r="C96"/>
      <c r="D96"/>
    </row>
    <row r="97" spans="1:4">
      <c r="A97"/>
      <c r="B97"/>
      <c r="C97"/>
      <c r="D97"/>
    </row>
    <row r="100" spans="1:4">
      <c r="A100"/>
      <c r="B100"/>
      <c r="C100"/>
      <c r="D100"/>
    </row>
    <row r="101" spans="1:4">
      <c r="A101"/>
      <c r="B101"/>
      <c r="C101"/>
      <c r="D101"/>
    </row>
    <row r="102" spans="1:4">
      <c r="A102"/>
      <c r="B102"/>
      <c r="C102"/>
      <c r="D102"/>
    </row>
    <row r="103" spans="1:4">
      <c r="A103"/>
      <c r="B103"/>
      <c r="C103"/>
      <c r="D103"/>
    </row>
    <row r="104" spans="1:4">
      <c r="A104"/>
      <c r="B104"/>
      <c r="C104"/>
      <c r="D104"/>
    </row>
    <row r="105" spans="1:4">
      <c r="A105"/>
      <c r="B105"/>
      <c r="C105"/>
      <c r="D105"/>
    </row>
    <row r="106" spans="1:4">
      <c r="A106"/>
      <c r="B106"/>
      <c r="C106"/>
      <c r="D106"/>
    </row>
    <row r="107" spans="1:4">
      <c r="A107"/>
      <c r="B107"/>
      <c r="C107"/>
      <c r="D107"/>
    </row>
  </sheetData>
  <mergeCells count="9">
    <mergeCell ref="A3:B3"/>
    <mergeCell ref="A4:B4"/>
    <mergeCell ref="A5:C5"/>
    <mergeCell ref="A6:D6"/>
    <mergeCell ref="A9:B9"/>
    <mergeCell ref="A43:C43"/>
    <mergeCell ref="A48:C48"/>
    <mergeCell ref="A1:D2"/>
    <mergeCell ref="C13:D14"/>
  </mergeCells>
  <pageMargins left="0.7" right="0.7" top="0.75" bottom="0.75" header="0.3" footer="0.3"/>
  <pageSetup paperSize="9" scale="90"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BP!B20</f>
        <v>EX202609-0514</v>
      </c>
    </row>
    <row r="8" spans="1:4">
      <c r="A8" s="95" t="s">
        <v>191</v>
      </c>
      <c r="B8" s="57">
        <f>BP!M41</f>
        <v>46276</v>
      </c>
      <c r="C8" s="96"/>
      <c r="D8" s="95"/>
    </row>
    <row r="9" spans="1:4">
      <c r="A9" s="93" t="s">
        <v>192</v>
      </c>
      <c r="B9" s="93"/>
      <c r="C9" s="95"/>
      <c r="D9" s="97"/>
    </row>
    <row r="10" ht="17.6" spans="1:4">
      <c r="A10" s="91" t="s">
        <v>193</v>
      </c>
      <c r="B10" s="94" t="str">
        <f>IF(BP!C20="","",BP!C20)</f>
        <v>T574ECB</v>
      </c>
      <c r="C10" s="41"/>
      <c r="D10" s="91"/>
    </row>
    <row r="11" spans="1:4">
      <c r="A11" s="91" t="s">
        <v>194</v>
      </c>
      <c r="B11" s="98" t="str">
        <f>IF(BP!D20="","",BP!D20)</f>
        <v>T185BDN</v>
      </c>
      <c r="C11" s="93" t="s">
        <v>195</v>
      </c>
      <c r="D11" s="94" t="str">
        <f>IF(BP!E20="","",BP!E20)</f>
        <v>T232DTC</v>
      </c>
    </row>
    <row r="12" ht="17.6" spans="1:4">
      <c r="A12" s="91" t="s">
        <v>196</v>
      </c>
      <c r="B12" s="98" t="str">
        <f>IF(BP!G20="","",BP!G20)</f>
        <v>MASHIKU JEREMIAH</v>
      </c>
      <c r="C12" s="99" t="s">
        <v>197</v>
      </c>
      <c r="D12" s="91" t="str">
        <f>IF(BP!H20="","",BP!H20)</f>
        <v>AB02100763</v>
      </c>
    </row>
    <row r="13" spans="1:4">
      <c r="A13" s="91" t="s">
        <v>198</v>
      </c>
      <c r="B13" s="91"/>
      <c r="C13" s="100"/>
      <c r="D13" s="100"/>
    </row>
    <row r="14" spans="1:4">
      <c r="A14" s="91" t="s">
        <v>199</v>
      </c>
      <c r="B14" s="94" t="str">
        <f>IF(BP!I20="","",BP!I20)</f>
        <v>C.STEINWEG BRIDGE (PTY) LTD</v>
      </c>
      <c r="C14" s="100"/>
      <c r="D14" s="100"/>
    </row>
    <row r="15" spans="1:4">
      <c r="A15" s="95" t="s">
        <v>200</v>
      </c>
      <c r="B15" s="101" t="s">
        <v>201</v>
      </c>
      <c r="C15" s="102"/>
      <c r="D15" s="102"/>
    </row>
    <row r="16" spans="1:4">
      <c r="A16" s="95" t="s">
        <v>202</v>
      </c>
      <c r="B16" s="101" t="str">
        <f>IF(BP!J20="","",BP!J20)</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582</v>
      </c>
      <c r="C19" s="104">
        <v>1356</v>
      </c>
      <c r="D19" s="104" t="s">
        <v>583</v>
      </c>
    </row>
    <row r="20" ht="15" customHeight="1" spans="1:4">
      <c r="A20" s="104">
        <v>2</v>
      </c>
      <c r="B20" s="104" t="s">
        <v>584</v>
      </c>
      <c r="C20" s="104">
        <v>1437</v>
      </c>
      <c r="D20" s="104" t="s">
        <v>585</v>
      </c>
    </row>
    <row r="21" ht="15" customHeight="1" spans="1:4">
      <c r="A21" s="104">
        <v>3</v>
      </c>
      <c r="B21" s="104" t="s">
        <v>586</v>
      </c>
      <c r="C21" s="104">
        <v>1537</v>
      </c>
      <c r="D21" s="104" t="s">
        <v>587</v>
      </c>
    </row>
    <row r="22" ht="15" customHeight="1" spans="1:4">
      <c r="A22" s="104">
        <v>4</v>
      </c>
      <c r="B22" s="104" t="s">
        <v>588</v>
      </c>
      <c r="C22" s="104">
        <v>1435</v>
      </c>
      <c r="D22" s="104" t="s">
        <v>589</v>
      </c>
    </row>
    <row r="23" ht="15" customHeight="1" spans="1:4">
      <c r="A23" s="104">
        <v>5</v>
      </c>
      <c r="B23" s="104" t="s">
        <v>590</v>
      </c>
      <c r="C23" s="104">
        <v>1424</v>
      </c>
      <c r="D23" s="104" t="s">
        <v>591</v>
      </c>
    </row>
    <row r="24" ht="15" customHeight="1" spans="1:4">
      <c r="A24" s="104">
        <v>6</v>
      </c>
      <c r="B24" s="104" t="s">
        <v>592</v>
      </c>
      <c r="C24" s="104">
        <v>1327</v>
      </c>
      <c r="D24" s="104" t="s">
        <v>593</v>
      </c>
    </row>
    <row r="25" ht="15" customHeight="1" spans="1:4">
      <c r="A25" s="104">
        <v>7</v>
      </c>
      <c r="B25" s="104" t="s">
        <v>594</v>
      </c>
      <c r="C25" s="104">
        <v>1447</v>
      </c>
      <c r="D25" s="104" t="s">
        <v>595</v>
      </c>
    </row>
    <row r="26" ht="15" customHeight="1" spans="1:4">
      <c r="A26" s="104">
        <v>8</v>
      </c>
      <c r="B26" s="104" t="s">
        <v>596</v>
      </c>
      <c r="C26" s="104">
        <v>1434</v>
      </c>
      <c r="D26" s="104" t="s">
        <v>597</v>
      </c>
    </row>
    <row r="27" ht="15" customHeight="1" spans="1:4">
      <c r="A27" s="104">
        <v>9</v>
      </c>
      <c r="B27" s="104" t="s">
        <v>598</v>
      </c>
      <c r="C27" s="104">
        <v>1290</v>
      </c>
      <c r="D27" s="104" t="s">
        <v>599</v>
      </c>
    </row>
    <row r="28" ht="15" customHeight="1" spans="1:4">
      <c r="A28" s="104">
        <v>10</v>
      </c>
      <c r="B28" s="104" t="s">
        <v>600</v>
      </c>
      <c r="C28" s="104">
        <v>1390</v>
      </c>
      <c r="D28" s="104" t="s">
        <v>601</v>
      </c>
    </row>
    <row r="29" ht="15" customHeight="1" spans="1:4">
      <c r="A29" s="104">
        <v>11</v>
      </c>
      <c r="B29" s="104" t="s">
        <v>602</v>
      </c>
      <c r="C29" s="104">
        <v>1385</v>
      </c>
      <c r="D29" s="104" t="s">
        <v>603</v>
      </c>
    </row>
    <row r="30" ht="15" customHeight="1" spans="1:4">
      <c r="A30" s="104">
        <v>12</v>
      </c>
      <c r="B30" s="104" t="s">
        <v>604</v>
      </c>
      <c r="C30" s="104">
        <v>1396</v>
      </c>
      <c r="D30" s="104" t="s">
        <v>605</v>
      </c>
    </row>
    <row r="31" ht="15" customHeight="1" spans="1:4">
      <c r="A31" s="104">
        <v>13</v>
      </c>
      <c r="B31" s="104" t="s">
        <v>606</v>
      </c>
      <c r="C31" s="104">
        <v>1479</v>
      </c>
      <c r="D31" s="104" t="s">
        <v>607</v>
      </c>
    </row>
    <row r="32" ht="15" customHeight="1" spans="1:4">
      <c r="A32" s="104">
        <v>14</v>
      </c>
      <c r="B32" s="104" t="s">
        <v>608</v>
      </c>
      <c r="C32" s="104">
        <v>1240</v>
      </c>
      <c r="D32" s="104" t="s">
        <v>609</v>
      </c>
    </row>
    <row r="33" ht="15" customHeight="1" spans="1:4">
      <c r="A33" s="104">
        <v>15</v>
      </c>
      <c r="B33" s="104" t="s">
        <v>610</v>
      </c>
      <c r="C33" s="104">
        <v>1373</v>
      </c>
      <c r="D33" s="104" t="s">
        <v>611</v>
      </c>
    </row>
    <row r="34" ht="15" customHeight="1" spans="1:4">
      <c r="A34" s="104">
        <v>16</v>
      </c>
      <c r="B34" s="104" t="s">
        <v>612</v>
      </c>
      <c r="C34" s="104">
        <v>1485</v>
      </c>
      <c r="D34" s="104" t="s">
        <v>613</v>
      </c>
    </row>
    <row r="35" ht="15" customHeight="1" spans="1:4">
      <c r="A35" s="104">
        <v>17</v>
      </c>
      <c r="B35" s="104" t="s">
        <v>614</v>
      </c>
      <c r="C35" s="104">
        <v>1484</v>
      </c>
      <c r="D35" s="104" t="s">
        <v>615</v>
      </c>
    </row>
    <row r="36" ht="15" customHeight="1" spans="1:4">
      <c r="A36" s="104">
        <v>18</v>
      </c>
      <c r="B36" s="104" t="s">
        <v>616</v>
      </c>
      <c r="C36" s="104">
        <v>1401</v>
      </c>
      <c r="D36" s="104" t="s">
        <v>617</v>
      </c>
    </row>
    <row r="37" ht="15" customHeight="1" spans="1:4">
      <c r="A37" s="104">
        <v>19</v>
      </c>
      <c r="B37" s="104" t="s">
        <v>618</v>
      </c>
      <c r="C37" s="104">
        <v>1411</v>
      </c>
      <c r="D37" s="104" t="s">
        <v>619</v>
      </c>
    </row>
    <row r="38" ht="15" customHeight="1" spans="1:4">
      <c r="A38" s="104">
        <v>20</v>
      </c>
      <c r="B38" s="104" t="s">
        <v>620</v>
      </c>
      <c r="C38" s="104">
        <v>1415</v>
      </c>
      <c r="D38" s="104" t="s">
        <v>621</v>
      </c>
    </row>
    <row r="39" ht="15" customHeight="1" spans="1:4">
      <c r="A39" s="104">
        <v>21</v>
      </c>
      <c r="B39" s="104" t="s">
        <v>622</v>
      </c>
      <c r="C39" s="104">
        <v>1441</v>
      </c>
      <c r="D39" s="104" t="s">
        <v>623</v>
      </c>
    </row>
    <row r="40" ht="15" customHeight="1" spans="1:4">
      <c r="A40" s="104">
        <v>22</v>
      </c>
      <c r="B40" s="104" t="s">
        <v>624</v>
      </c>
      <c r="C40" s="104">
        <v>1312</v>
      </c>
      <c r="D40" s="104" t="s">
        <v>625</v>
      </c>
    </row>
    <row r="41" ht="15" customHeight="1" spans="1:4">
      <c r="A41" s="104">
        <v>23</v>
      </c>
      <c r="B41" s="104" t="s">
        <v>626</v>
      </c>
      <c r="C41" s="104">
        <v>1400</v>
      </c>
      <c r="D41" s="104" t="s">
        <v>627</v>
      </c>
    </row>
    <row r="42" ht="15" customHeight="1" spans="1:4">
      <c r="A42" s="104">
        <v>24</v>
      </c>
      <c r="B42" s="104" t="s">
        <v>628</v>
      </c>
      <c r="C42" s="104">
        <v>1462</v>
      </c>
      <c r="D42" s="104" t="s">
        <v>629</v>
      </c>
    </row>
    <row r="43" ht="15" customHeight="1" spans="1:4">
      <c r="A43" s="104"/>
      <c r="B43" s="104"/>
      <c r="C43" s="104"/>
      <c r="D43" s="104"/>
    </row>
    <row r="44" ht="15" customHeight="1" spans="1:4">
      <c r="A44" s="104" t="s">
        <v>251</v>
      </c>
      <c r="B44" s="104"/>
      <c r="C44" s="104">
        <f>SUM(C19:C42)</f>
        <v>33761</v>
      </c>
      <c r="D44" s="104"/>
    </row>
    <row r="47" spans="1:4">
      <c r="A47" t="s">
        <v>252</v>
      </c>
    </row>
    <row r="48" spans="1:4">
      <c r="A48" t="s">
        <v>253</v>
      </c>
    </row>
    <row r="49" spans="1:3">
      <c r="A49" t="s">
        <v>254</v>
      </c>
    </row>
    <row r="50" spans="1:3">
      <c r="A50" t="s">
        <v>255</v>
      </c>
      <c r="C50" t="s">
        <v>256</v>
      </c>
    </row>
    <row r="51" spans="1:3">
      <c r="A51" t="s">
        <v>257</v>
      </c>
      <c r="C51" t="s">
        <v>258</v>
      </c>
    </row>
  </sheetData>
  <mergeCells count="8">
    <mergeCell ref="A3:B3"/>
    <mergeCell ref="A4:B4"/>
    <mergeCell ref="A5:C5"/>
    <mergeCell ref="A6:D6"/>
    <mergeCell ref="A9:B9"/>
    <mergeCell ref="A43:C43"/>
    <mergeCell ref="A1:D2"/>
    <mergeCell ref="C13:D14"/>
  </mergeCells>
  <pageMargins left="0.7" right="0.7" top="0.75" bottom="0.75" header="0.3" footer="0.3"/>
  <pageSetup paperSize="9" scale="90"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2"/>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BP!B21</f>
        <v>EX202609-0515</v>
      </c>
    </row>
    <row r="8" spans="1:4">
      <c r="A8" s="95" t="s">
        <v>191</v>
      </c>
      <c r="B8" s="57">
        <f>BP!M41</f>
        <v>46276</v>
      </c>
      <c r="C8" s="96"/>
      <c r="D8" s="95"/>
    </row>
    <row r="9" spans="1:4">
      <c r="A9" s="93" t="s">
        <v>192</v>
      </c>
      <c r="B9" s="93"/>
      <c r="C9" s="95"/>
      <c r="D9" s="97"/>
    </row>
    <row r="10" ht="17.6" spans="1:4">
      <c r="A10" s="91" t="s">
        <v>193</v>
      </c>
      <c r="B10" s="94" t="str">
        <f>IF(BP!C21="","",BP!C21)</f>
        <v>T174DYN</v>
      </c>
      <c r="C10" s="41"/>
      <c r="D10" s="91"/>
    </row>
    <row r="11" spans="1:4">
      <c r="A11" s="91" t="s">
        <v>194</v>
      </c>
      <c r="B11" s="98" t="str">
        <f>IF(BP!D21="","",BP!D21)</f>
        <v>T345BSA</v>
      </c>
      <c r="C11" s="93" t="s">
        <v>195</v>
      </c>
      <c r="D11" s="94" t="str">
        <f>IF(BP!E21="","",BP!E21)</f>
        <v>T254EKH</v>
      </c>
    </row>
    <row r="12" ht="17.6" spans="1:4">
      <c r="A12" s="91" t="s">
        <v>196</v>
      </c>
      <c r="B12" s="98" t="str">
        <f>IF(BP!G21="","",BP!G21)</f>
        <v>MIKAEHAEL CHARLES</v>
      </c>
      <c r="C12" s="99" t="s">
        <v>197</v>
      </c>
      <c r="D12" s="91" t="str">
        <f>IF(BP!H21="","",BP!H21)</f>
        <v>TAE652658</v>
      </c>
    </row>
    <row r="13" spans="1:4">
      <c r="A13" s="91" t="s">
        <v>198</v>
      </c>
      <c r="B13" s="91"/>
      <c r="C13" s="100"/>
      <c r="D13" s="100"/>
    </row>
    <row r="14" spans="1:4">
      <c r="A14" s="91" t="s">
        <v>199</v>
      </c>
      <c r="B14" s="94" t="str">
        <f>IF(BP!I21="","",BP!I21)</f>
        <v>C.STEINWEG BRIDGE (PTY) LTD</v>
      </c>
      <c r="C14" s="100"/>
      <c r="D14" s="100"/>
    </row>
    <row r="15" spans="1:4">
      <c r="A15" s="95" t="s">
        <v>200</v>
      </c>
      <c r="B15" s="101" t="s">
        <v>201</v>
      </c>
      <c r="C15" s="102"/>
      <c r="D15" s="102"/>
    </row>
    <row r="16" spans="1:4">
      <c r="A16" s="95" t="s">
        <v>202</v>
      </c>
      <c r="B16" s="101" t="str">
        <f>IF(BP!J21="","",BP!J21)</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630</v>
      </c>
      <c r="C19" s="104">
        <v>1336</v>
      </c>
      <c r="D19" s="104" t="s">
        <v>631</v>
      </c>
    </row>
    <row r="20" ht="15" customHeight="1" spans="1:4">
      <c r="A20" s="104">
        <v>2</v>
      </c>
      <c r="B20" s="104" t="s">
        <v>632</v>
      </c>
      <c r="C20" s="104">
        <v>1318</v>
      </c>
      <c r="D20" s="104" t="s">
        <v>633</v>
      </c>
    </row>
    <row r="21" ht="15" customHeight="1" spans="1:4">
      <c r="A21" s="104">
        <v>3</v>
      </c>
      <c r="B21" s="104" t="s">
        <v>634</v>
      </c>
      <c r="C21" s="104">
        <v>1304</v>
      </c>
      <c r="D21" s="104" t="s">
        <v>635</v>
      </c>
    </row>
    <row r="22" ht="15" customHeight="1" spans="1:4">
      <c r="A22" s="104">
        <v>4</v>
      </c>
      <c r="B22" s="104" t="s">
        <v>636</v>
      </c>
      <c r="C22" s="104">
        <v>1420</v>
      </c>
      <c r="D22" s="104" t="s">
        <v>637</v>
      </c>
    </row>
    <row r="23" ht="15" customHeight="1" spans="1:4">
      <c r="A23" s="104">
        <v>5</v>
      </c>
      <c r="B23" s="104" t="s">
        <v>638</v>
      </c>
      <c r="C23" s="104">
        <v>1314</v>
      </c>
      <c r="D23" s="104" t="s">
        <v>639</v>
      </c>
    </row>
    <row r="24" ht="15" customHeight="1" spans="1:4">
      <c r="A24" s="104">
        <v>6</v>
      </c>
      <c r="B24" s="104" t="s">
        <v>640</v>
      </c>
      <c r="C24" s="104">
        <v>1436</v>
      </c>
      <c r="D24" s="104" t="s">
        <v>641</v>
      </c>
    </row>
    <row r="25" ht="15" customHeight="1" spans="1:4">
      <c r="A25" s="104">
        <v>7</v>
      </c>
      <c r="B25" s="104" t="s">
        <v>642</v>
      </c>
      <c r="C25" s="104">
        <v>1361</v>
      </c>
      <c r="D25" s="104" t="s">
        <v>643</v>
      </c>
    </row>
    <row r="26" ht="15" customHeight="1" spans="1:4">
      <c r="A26" s="104">
        <v>8</v>
      </c>
      <c r="B26" s="104" t="s">
        <v>644</v>
      </c>
      <c r="C26" s="104">
        <v>1313</v>
      </c>
      <c r="D26" s="104" t="s">
        <v>645</v>
      </c>
    </row>
    <row r="27" ht="15" customHeight="1" spans="1:4">
      <c r="A27" s="104">
        <v>9</v>
      </c>
      <c r="B27" s="104" t="s">
        <v>646</v>
      </c>
      <c r="C27" s="104">
        <v>1463</v>
      </c>
      <c r="D27" s="104" t="s">
        <v>647</v>
      </c>
    </row>
    <row r="28" ht="15" customHeight="1" spans="1:4">
      <c r="A28" s="104">
        <v>10</v>
      </c>
      <c r="B28" s="104" t="s">
        <v>648</v>
      </c>
      <c r="C28" s="104">
        <v>1210</v>
      </c>
      <c r="D28" s="104" t="s">
        <v>649</v>
      </c>
    </row>
    <row r="29" ht="15" customHeight="1" spans="1:4">
      <c r="A29" s="104">
        <v>11</v>
      </c>
      <c r="B29" s="104" t="s">
        <v>650</v>
      </c>
      <c r="C29" s="104">
        <v>1452</v>
      </c>
      <c r="D29" s="104" t="s">
        <v>651</v>
      </c>
    </row>
    <row r="30" ht="15" customHeight="1" spans="1:4">
      <c r="A30" s="104">
        <v>12</v>
      </c>
      <c r="B30" s="104" t="s">
        <v>652</v>
      </c>
      <c r="C30" s="104">
        <v>1341</v>
      </c>
      <c r="D30" s="104" t="s">
        <v>653</v>
      </c>
    </row>
    <row r="31" ht="15" customHeight="1" spans="1:4">
      <c r="A31" s="104">
        <v>13</v>
      </c>
      <c r="B31" s="104" t="s">
        <v>654</v>
      </c>
      <c r="C31" s="104">
        <v>1326</v>
      </c>
      <c r="D31" s="104" t="s">
        <v>655</v>
      </c>
    </row>
    <row r="32" ht="15" customHeight="1" spans="1:4">
      <c r="A32" s="104">
        <v>14</v>
      </c>
      <c r="B32" s="104" t="s">
        <v>656</v>
      </c>
      <c r="C32" s="104">
        <v>1310</v>
      </c>
      <c r="D32" s="104" t="s">
        <v>657</v>
      </c>
    </row>
    <row r="33" ht="15" customHeight="1" spans="1:4">
      <c r="A33" s="104">
        <v>15</v>
      </c>
      <c r="B33" s="104" t="s">
        <v>658</v>
      </c>
      <c r="C33" s="104">
        <v>1425</v>
      </c>
      <c r="D33" s="104" t="s">
        <v>659</v>
      </c>
    </row>
    <row r="34" ht="15" customHeight="1" spans="1:4">
      <c r="A34" s="104">
        <v>16</v>
      </c>
      <c r="B34" s="104" t="s">
        <v>660</v>
      </c>
      <c r="C34" s="104">
        <v>1345</v>
      </c>
      <c r="D34" s="104" t="s">
        <v>661</v>
      </c>
    </row>
    <row r="35" ht="15" customHeight="1" spans="1:4">
      <c r="A35" s="104">
        <v>17</v>
      </c>
      <c r="B35" s="104" t="s">
        <v>662</v>
      </c>
      <c r="C35" s="104">
        <v>1310</v>
      </c>
      <c r="D35" s="104" t="s">
        <v>663</v>
      </c>
    </row>
    <row r="36" ht="15" customHeight="1" spans="1:4">
      <c r="A36" s="104">
        <v>18</v>
      </c>
      <c r="B36" s="104" t="s">
        <v>664</v>
      </c>
      <c r="C36" s="104">
        <v>1425</v>
      </c>
      <c r="D36" s="104" t="s">
        <v>665</v>
      </c>
    </row>
    <row r="37" ht="15" customHeight="1" spans="1:4">
      <c r="A37" s="104">
        <v>19</v>
      </c>
      <c r="B37" s="104" t="s">
        <v>666</v>
      </c>
      <c r="C37" s="104">
        <v>1324</v>
      </c>
      <c r="D37" s="104" t="s">
        <v>667</v>
      </c>
    </row>
    <row r="38" ht="15" customHeight="1" spans="1:4">
      <c r="A38" s="104">
        <v>20</v>
      </c>
      <c r="B38" s="104" t="s">
        <v>668</v>
      </c>
      <c r="C38" s="104">
        <v>1552</v>
      </c>
      <c r="D38" s="104" t="s">
        <v>669</v>
      </c>
    </row>
    <row r="39" ht="15" customHeight="1" spans="1:4">
      <c r="A39" s="104">
        <v>21</v>
      </c>
      <c r="B39" s="104" t="s">
        <v>670</v>
      </c>
      <c r="C39" s="104">
        <v>1183</v>
      </c>
      <c r="D39" s="104" t="s">
        <v>671</v>
      </c>
    </row>
    <row r="40" ht="15" customHeight="1" spans="1:4">
      <c r="A40" s="104">
        <v>22</v>
      </c>
      <c r="B40" s="104" t="s">
        <v>672</v>
      </c>
      <c r="C40" s="104">
        <v>1427</v>
      </c>
      <c r="D40" s="104" t="s">
        <v>673</v>
      </c>
    </row>
    <row r="41" ht="15" customHeight="1" spans="1:4">
      <c r="A41" s="104">
        <v>23</v>
      </c>
      <c r="B41" s="104" t="s">
        <v>674</v>
      </c>
      <c r="C41" s="104">
        <v>1578</v>
      </c>
      <c r="D41" s="104" t="s">
        <v>675</v>
      </c>
    </row>
    <row r="42" ht="15" customHeight="1" spans="1:4">
      <c r="A42" s="104">
        <v>24</v>
      </c>
      <c r="B42" s="104" t="s">
        <v>676</v>
      </c>
      <c r="C42" s="104">
        <v>1555</v>
      </c>
      <c r="D42" s="104" t="s">
        <v>677</v>
      </c>
    </row>
    <row r="43" ht="15" customHeight="1" spans="1:4">
      <c r="A43" s="104">
        <v>25</v>
      </c>
      <c r="B43" s="104" t="s">
        <v>678</v>
      </c>
      <c r="C43" s="104">
        <v>1522</v>
      </c>
      <c r="D43" s="104" t="s">
        <v>679</v>
      </c>
    </row>
    <row r="45" spans="1:4">
      <c r="A45" t="s">
        <v>251</v>
      </c>
      <c r="C45">
        <f>SUM(C19:C43)</f>
        <v>34550</v>
      </c>
    </row>
    <row r="48" spans="1:4">
      <c r="A48" t="s">
        <v>252</v>
      </c>
    </row>
    <row r="49" spans="1:3">
      <c r="A49" t="s">
        <v>253</v>
      </c>
    </row>
    <row r="50" spans="1:3">
      <c r="A50" t="s">
        <v>254</v>
      </c>
    </row>
    <row r="51" spans="1:3">
      <c r="A51" t="s">
        <v>255</v>
      </c>
      <c r="C51" t="s">
        <v>256</v>
      </c>
    </row>
    <row r="52" spans="1:3">
      <c r="A52" t="s">
        <v>257</v>
      </c>
      <c r="C52" t="s">
        <v>258</v>
      </c>
    </row>
  </sheetData>
  <mergeCells count="8">
    <mergeCell ref="A3:B3"/>
    <mergeCell ref="A4:B4"/>
    <mergeCell ref="A5:C5"/>
    <mergeCell ref="A6:D6"/>
    <mergeCell ref="A9:B9"/>
    <mergeCell ref="A44:C44"/>
    <mergeCell ref="A1:D2"/>
    <mergeCell ref="C13:D14"/>
  </mergeCells>
  <pageMargins left="0.7" right="0.7" top="0.75" bottom="0.75" header="0.3" footer="0.3"/>
  <pageSetup paperSize="9" scale="8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2"/>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BP!B22</f>
        <v>EX202609-0516</v>
      </c>
    </row>
    <row r="8" spans="1:4">
      <c r="A8" s="95" t="s">
        <v>191</v>
      </c>
      <c r="B8" s="57">
        <f>BP!M41</f>
        <v>46276</v>
      </c>
      <c r="C8" s="96"/>
      <c r="D8" s="95"/>
    </row>
    <row r="9" spans="1:4">
      <c r="A9" s="93" t="s">
        <v>192</v>
      </c>
      <c r="B9" s="93"/>
      <c r="C9" s="95"/>
      <c r="D9" s="97"/>
    </row>
    <row r="10" ht="17.6" spans="1:4">
      <c r="A10" s="91" t="s">
        <v>193</v>
      </c>
      <c r="B10" s="94" t="str">
        <f>IF(BP!C22="","",BP!C22)</f>
        <v>T593EAL</v>
      </c>
      <c r="C10" s="41"/>
      <c r="D10" s="91"/>
    </row>
    <row r="11" spans="1:4">
      <c r="A11" s="91" t="s">
        <v>194</v>
      </c>
      <c r="B11" s="98" t="str">
        <f>IF(BP!D22="","",BP!D22)</f>
        <v>T147BGL</v>
      </c>
      <c r="C11" s="93" t="s">
        <v>195</v>
      </c>
      <c r="D11" s="94" t="str">
        <f>IF(BP!E22="","",BP!E22)</f>
        <v>T726EGF</v>
      </c>
    </row>
    <row r="12" ht="17.6" spans="1:4">
      <c r="A12" s="91" t="s">
        <v>196</v>
      </c>
      <c r="B12" s="98" t="str">
        <f>IF(BP!G22="","",BP!G22)</f>
        <v>HASSAN NGUZO</v>
      </c>
      <c r="C12" s="99" t="s">
        <v>197</v>
      </c>
      <c r="D12" s="91" t="str">
        <f>IF(BP!H22="","",BP!H22)</f>
        <v>TAE800128</v>
      </c>
    </row>
    <row r="13" spans="1:4">
      <c r="A13" s="91" t="s">
        <v>198</v>
      </c>
      <c r="B13" s="91"/>
      <c r="C13" s="100"/>
      <c r="D13" s="100"/>
    </row>
    <row r="14" spans="1:4">
      <c r="A14" s="91" t="s">
        <v>199</v>
      </c>
      <c r="B14" s="94" t="str">
        <f>IF(BP!I22="","",BP!I22)</f>
        <v>C.STEINWEG BRIDGE (PTY) LTD</v>
      </c>
      <c r="C14" s="100"/>
      <c r="D14" s="100"/>
    </row>
    <row r="15" spans="1:4">
      <c r="A15" s="95" t="s">
        <v>200</v>
      </c>
      <c r="B15" s="101" t="s">
        <v>201</v>
      </c>
      <c r="C15" s="102"/>
      <c r="D15" s="102"/>
    </row>
    <row r="16" spans="1:4">
      <c r="A16" s="95" t="s">
        <v>202</v>
      </c>
      <c r="B16" s="101" t="str">
        <f>IF(BP!J22="","",BP!J22)</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680</v>
      </c>
      <c r="C19" s="104">
        <v>1387</v>
      </c>
      <c r="D19" s="104" t="s">
        <v>681</v>
      </c>
    </row>
    <row r="20" ht="15" customHeight="1" spans="1:4">
      <c r="A20" s="104">
        <v>2</v>
      </c>
      <c r="B20" s="104" t="s">
        <v>682</v>
      </c>
      <c r="C20" s="104">
        <v>1418</v>
      </c>
      <c r="D20" s="104" t="s">
        <v>683</v>
      </c>
    </row>
    <row r="21" ht="15" customHeight="1" spans="1:4">
      <c r="A21" s="104">
        <v>3</v>
      </c>
      <c r="B21" s="104" t="s">
        <v>684</v>
      </c>
      <c r="C21" s="104">
        <v>1379</v>
      </c>
      <c r="D21" s="104" t="s">
        <v>685</v>
      </c>
    </row>
    <row r="22" ht="15" customHeight="1" spans="1:4">
      <c r="A22" s="104">
        <v>4</v>
      </c>
      <c r="B22" s="104" t="s">
        <v>686</v>
      </c>
      <c r="C22" s="104">
        <v>1380</v>
      </c>
      <c r="D22" s="104" t="s">
        <v>687</v>
      </c>
    </row>
    <row r="23" ht="15" customHeight="1" spans="1:4">
      <c r="A23" s="104">
        <v>5</v>
      </c>
      <c r="B23" s="104" t="s">
        <v>688</v>
      </c>
      <c r="C23" s="104">
        <v>1377</v>
      </c>
      <c r="D23" s="104" t="s">
        <v>689</v>
      </c>
    </row>
    <row r="24" ht="15" customHeight="1" spans="1:4">
      <c r="A24" s="104">
        <v>6</v>
      </c>
      <c r="B24" s="104" t="s">
        <v>690</v>
      </c>
      <c r="C24" s="104">
        <v>1324</v>
      </c>
      <c r="D24" s="104" t="s">
        <v>691</v>
      </c>
    </row>
    <row r="25" ht="15" customHeight="1" spans="1:4">
      <c r="A25" s="104">
        <v>7</v>
      </c>
      <c r="B25" s="104" t="s">
        <v>692</v>
      </c>
      <c r="C25" s="104">
        <v>1400</v>
      </c>
      <c r="D25" s="104" t="s">
        <v>693</v>
      </c>
    </row>
    <row r="26" ht="15" customHeight="1" spans="1:4">
      <c r="A26" s="104">
        <v>8</v>
      </c>
      <c r="B26" s="104" t="s">
        <v>694</v>
      </c>
      <c r="C26" s="104">
        <v>1249</v>
      </c>
      <c r="D26" s="104" t="s">
        <v>695</v>
      </c>
    </row>
    <row r="27" ht="15" customHeight="1" spans="1:4">
      <c r="A27" s="104">
        <v>9</v>
      </c>
      <c r="B27" s="104" t="s">
        <v>696</v>
      </c>
      <c r="C27" s="104">
        <v>1496</v>
      </c>
      <c r="D27" s="104" t="s">
        <v>697</v>
      </c>
    </row>
    <row r="28" ht="15" customHeight="1" spans="1:4">
      <c r="A28" s="104">
        <v>10</v>
      </c>
      <c r="B28" s="104" t="s">
        <v>698</v>
      </c>
      <c r="C28" s="104">
        <v>1206</v>
      </c>
      <c r="D28" s="104" t="s">
        <v>699</v>
      </c>
    </row>
    <row r="29" ht="15" customHeight="1" spans="1:4">
      <c r="A29" s="104">
        <v>11</v>
      </c>
      <c r="B29" s="104" t="s">
        <v>700</v>
      </c>
      <c r="C29" s="104">
        <v>1341</v>
      </c>
      <c r="D29" s="104" t="s">
        <v>701</v>
      </c>
    </row>
    <row r="30" ht="15" customHeight="1" spans="1:4">
      <c r="A30" s="104">
        <v>12</v>
      </c>
      <c r="B30" s="104" t="s">
        <v>702</v>
      </c>
      <c r="C30" s="104">
        <v>1328</v>
      </c>
      <c r="D30" s="104" t="s">
        <v>703</v>
      </c>
    </row>
    <row r="31" ht="15" customHeight="1" spans="1:4">
      <c r="A31" s="104">
        <v>13</v>
      </c>
      <c r="B31" s="104" t="s">
        <v>704</v>
      </c>
      <c r="C31" s="104">
        <v>1452</v>
      </c>
      <c r="D31" s="104" t="s">
        <v>705</v>
      </c>
    </row>
    <row r="32" ht="15" customHeight="1" spans="1:4">
      <c r="A32" s="104">
        <v>14</v>
      </c>
      <c r="B32" s="104" t="s">
        <v>706</v>
      </c>
      <c r="C32" s="104">
        <v>1347</v>
      </c>
      <c r="D32" s="104" t="s">
        <v>707</v>
      </c>
    </row>
    <row r="33" ht="15" customHeight="1" spans="1:4">
      <c r="A33" s="104">
        <v>15</v>
      </c>
      <c r="B33" s="104" t="s">
        <v>708</v>
      </c>
      <c r="C33" s="104">
        <v>1318</v>
      </c>
      <c r="D33" s="104" t="s">
        <v>709</v>
      </c>
    </row>
    <row r="34" ht="15" customHeight="1" spans="1:4">
      <c r="A34" s="104">
        <v>16</v>
      </c>
      <c r="B34" s="104" t="s">
        <v>710</v>
      </c>
      <c r="C34" s="104">
        <v>1448</v>
      </c>
      <c r="D34" s="104" t="s">
        <v>711</v>
      </c>
    </row>
    <row r="35" ht="15" customHeight="1" spans="1:4">
      <c r="A35" s="104">
        <v>17</v>
      </c>
      <c r="B35" s="104" t="s">
        <v>712</v>
      </c>
      <c r="C35" s="104">
        <v>1393</v>
      </c>
      <c r="D35" s="104" t="s">
        <v>713</v>
      </c>
    </row>
    <row r="36" ht="15" customHeight="1" spans="1:4">
      <c r="A36" s="104">
        <v>18</v>
      </c>
      <c r="B36" s="104" t="s">
        <v>714</v>
      </c>
      <c r="C36" s="104">
        <v>1281</v>
      </c>
      <c r="D36" s="104" t="s">
        <v>715</v>
      </c>
    </row>
    <row r="37" ht="15" customHeight="1" spans="1:4">
      <c r="A37" s="104">
        <v>19</v>
      </c>
      <c r="B37" s="104" t="s">
        <v>716</v>
      </c>
      <c r="C37" s="104">
        <v>1339</v>
      </c>
      <c r="D37" s="104" t="s">
        <v>717</v>
      </c>
    </row>
    <row r="38" ht="15" customHeight="1" spans="1:4">
      <c r="A38" s="104">
        <v>20</v>
      </c>
      <c r="B38" s="104" t="s">
        <v>718</v>
      </c>
      <c r="C38" s="104">
        <v>1423</v>
      </c>
      <c r="D38" s="104" t="s">
        <v>719</v>
      </c>
    </row>
    <row r="39" ht="15" customHeight="1" spans="1:4">
      <c r="A39" s="104">
        <v>21</v>
      </c>
      <c r="B39" s="104" t="s">
        <v>720</v>
      </c>
      <c r="C39" s="104">
        <v>1417</v>
      </c>
      <c r="D39" s="104" t="s">
        <v>721</v>
      </c>
    </row>
    <row r="40" ht="15" customHeight="1" spans="1:4">
      <c r="A40" s="104">
        <v>22</v>
      </c>
      <c r="B40" s="104" t="s">
        <v>722</v>
      </c>
      <c r="C40" s="104">
        <v>1346</v>
      </c>
      <c r="D40" s="104" t="s">
        <v>723</v>
      </c>
    </row>
    <row r="41" ht="15" customHeight="1" spans="1:4">
      <c r="A41" s="104">
        <v>23</v>
      </c>
      <c r="B41" s="104" t="s">
        <v>724</v>
      </c>
      <c r="C41" s="104">
        <v>1474</v>
      </c>
      <c r="D41" s="104" t="s">
        <v>725</v>
      </c>
    </row>
    <row r="42" ht="15" customHeight="1" spans="1:4">
      <c r="A42" s="104">
        <v>24</v>
      </c>
      <c r="B42" s="104" t="s">
        <v>726</v>
      </c>
      <c r="C42" s="104">
        <v>1537</v>
      </c>
      <c r="D42" s="104" t="s">
        <v>727</v>
      </c>
    </row>
    <row r="43" ht="15" customHeight="1" spans="1:4">
      <c r="A43" s="104">
        <v>25</v>
      </c>
      <c r="B43" s="104" t="s">
        <v>728</v>
      </c>
      <c r="C43" s="104">
        <v>1543</v>
      </c>
      <c r="D43" s="104" t="s">
        <v>729</v>
      </c>
    </row>
    <row r="45" spans="1:4">
      <c r="A45" t="s">
        <v>251</v>
      </c>
      <c r="C45">
        <f>SUM(C19:C43)</f>
        <v>34603</v>
      </c>
    </row>
    <row r="48" spans="1:4">
      <c r="A48" t="s">
        <v>252</v>
      </c>
    </row>
    <row r="49" spans="1:3">
      <c r="A49" t="s">
        <v>253</v>
      </c>
    </row>
    <row r="50" spans="1:3">
      <c r="A50" t="s">
        <v>254</v>
      </c>
    </row>
    <row r="51" spans="1:3">
      <c r="A51" t="s">
        <v>255</v>
      </c>
      <c r="C51" t="s">
        <v>256</v>
      </c>
    </row>
    <row r="52" spans="1:3">
      <c r="A52" t="s">
        <v>257</v>
      </c>
      <c r="C52" t="s">
        <v>258</v>
      </c>
    </row>
  </sheetData>
  <mergeCells count="8">
    <mergeCell ref="A3:B3"/>
    <mergeCell ref="A4:B4"/>
    <mergeCell ref="A5:C5"/>
    <mergeCell ref="A6:D6"/>
    <mergeCell ref="A9:B9"/>
    <mergeCell ref="A44:C44"/>
    <mergeCell ref="A1:D2"/>
    <mergeCell ref="C13:D14"/>
  </mergeCells>
  <pageMargins left="0.7" right="0.7" top="0.75" bottom="0.75" header="0.3" footer="0.3"/>
  <pageSetup paperSize="9" scale="90"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BP!B23</f>
        <v>EX202609-0517</v>
      </c>
    </row>
    <row r="8" spans="1:4">
      <c r="A8" s="95" t="s">
        <v>191</v>
      </c>
      <c r="B8" s="57">
        <f>BP!M41</f>
        <v>46276</v>
      </c>
      <c r="C8" s="96"/>
      <c r="D8" s="95"/>
    </row>
    <row r="9" spans="1:4">
      <c r="A9" s="93" t="s">
        <v>192</v>
      </c>
      <c r="B9" s="93"/>
      <c r="C9" s="95"/>
      <c r="D9" s="97"/>
    </row>
    <row r="10" ht="17.6" spans="1:4">
      <c r="A10" s="91" t="s">
        <v>193</v>
      </c>
      <c r="B10" s="94" t="str">
        <f>IF(BP!C23="","",BP!C23)</f>
        <v>T546ELH</v>
      </c>
      <c r="C10" s="41"/>
      <c r="D10" s="91"/>
    </row>
    <row r="11" spans="1:4">
      <c r="A11" s="91" t="s">
        <v>194</v>
      </c>
      <c r="B11" s="98" t="str">
        <f>IF(BP!D23="","",BP!D23)</f>
        <v>T993DAU</v>
      </c>
      <c r="C11" s="93" t="s">
        <v>195</v>
      </c>
      <c r="D11" s="94" t="str">
        <f>IF(BP!E23="","",BP!E23)</f>
        <v>T228DTC</v>
      </c>
    </row>
    <row r="12" ht="17.6" spans="1:4">
      <c r="A12" s="91" t="s">
        <v>196</v>
      </c>
      <c r="B12" s="98" t="str">
        <f>IF(BP!G23="","",BP!G23)</f>
        <v>MICHAEL</v>
      </c>
      <c r="C12" s="99" t="s">
        <v>197</v>
      </c>
      <c r="D12" s="91" t="str">
        <f>IF(BP!H23="","",BP!H23)</f>
        <v>TAE779136</v>
      </c>
    </row>
    <row r="13" spans="1:4">
      <c r="A13" s="91" t="s">
        <v>198</v>
      </c>
      <c r="B13" s="91"/>
      <c r="C13" s="100"/>
      <c r="D13" s="100"/>
    </row>
    <row r="14" spans="1:4">
      <c r="A14" s="91" t="s">
        <v>199</v>
      </c>
      <c r="B14" s="94" t="str">
        <f>IF(BP!I23="","",BP!I23)</f>
        <v>C.STEINWEG BRIDGE (PTY) LTD</v>
      </c>
      <c r="C14" s="100"/>
      <c r="D14" s="100"/>
    </row>
    <row r="15" spans="1:4">
      <c r="A15" s="95" t="s">
        <v>200</v>
      </c>
      <c r="B15" s="101" t="s">
        <v>201</v>
      </c>
      <c r="C15" s="102"/>
      <c r="D15" s="102"/>
    </row>
    <row r="16" spans="1:4">
      <c r="A16" s="95" t="s">
        <v>202</v>
      </c>
      <c r="B16" s="101" t="str">
        <f>IF(BP!J23="","",BP!J23)</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730</v>
      </c>
      <c r="C19" s="104">
        <v>1560</v>
      </c>
      <c r="D19" s="104" t="s">
        <v>731</v>
      </c>
    </row>
    <row r="20" ht="15" customHeight="1" spans="1:4">
      <c r="A20" s="104">
        <v>2</v>
      </c>
      <c r="B20" s="104" t="s">
        <v>732</v>
      </c>
      <c r="C20" s="104">
        <v>1323</v>
      </c>
      <c r="D20" s="104" t="s">
        <v>733</v>
      </c>
    </row>
    <row r="21" ht="15" customHeight="1" spans="1:4">
      <c r="A21" s="104">
        <v>3</v>
      </c>
      <c r="B21" s="104" t="s">
        <v>734</v>
      </c>
      <c r="C21" s="104">
        <v>1343</v>
      </c>
      <c r="D21" s="104" t="s">
        <v>735</v>
      </c>
    </row>
    <row r="22" ht="15" customHeight="1" spans="1:4">
      <c r="A22" s="104">
        <v>4</v>
      </c>
      <c r="B22" s="104" t="s">
        <v>736</v>
      </c>
      <c r="C22" s="104">
        <v>1421</v>
      </c>
      <c r="D22" s="104" t="s">
        <v>737</v>
      </c>
    </row>
    <row r="23" ht="15" customHeight="1" spans="1:4">
      <c r="A23" s="104">
        <v>5</v>
      </c>
      <c r="B23" s="104" t="s">
        <v>738</v>
      </c>
      <c r="C23" s="104">
        <v>1447</v>
      </c>
      <c r="D23" s="104" t="s">
        <v>739</v>
      </c>
    </row>
    <row r="24" ht="15" customHeight="1" spans="1:4">
      <c r="A24" s="104">
        <v>6</v>
      </c>
      <c r="B24" s="104" t="s">
        <v>740</v>
      </c>
      <c r="C24" s="104">
        <v>1396</v>
      </c>
      <c r="D24" s="104" t="s">
        <v>741</v>
      </c>
    </row>
    <row r="25" ht="15" customHeight="1" spans="1:4">
      <c r="A25" s="104">
        <v>7</v>
      </c>
      <c r="B25" s="104" t="s">
        <v>742</v>
      </c>
      <c r="C25" s="104">
        <v>1395</v>
      </c>
      <c r="D25" s="104" t="s">
        <v>743</v>
      </c>
    </row>
    <row r="26" ht="15" customHeight="1" spans="1:4">
      <c r="A26" s="104">
        <v>8</v>
      </c>
      <c r="B26" s="104" t="s">
        <v>744</v>
      </c>
      <c r="C26" s="104">
        <v>1345</v>
      </c>
      <c r="D26" s="104" t="s">
        <v>745</v>
      </c>
    </row>
    <row r="27" ht="15" customHeight="1" spans="1:4">
      <c r="A27" s="104">
        <v>9</v>
      </c>
      <c r="B27" s="104" t="s">
        <v>746</v>
      </c>
      <c r="C27" s="104">
        <v>1494</v>
      </c>
      <c r="D27" s="104" t="s">
        <v>747</v>
      </c>
    </row>
    <row r="28" ht="15" customHeight="1" spans="1:4">
      <c r="A28" s="104">
        <v>10</v>
      </c>
      <c r="B28" s="104" t="s">
        <v>748</v>
      </c>
      <c r="C28" s="104">
        <v>1339</v>
      </c>
      <c r="D28" s="104" t="s">
        <v>749</v>
      </c>
    </row>
    <row r="29" ht="15" customHeight="1" spans="1:4">
      <c r="A29" s="104">
        <v>11</v>
      </c>
      <c r="B29" s="104" t="s">
        <v>750</v>
      </c>
      <c r="C29" s="104">
        <v>1424</v>
      </c>
      <c r="D29" s="104" t="s">
        <v>751</v>
      </c>
    </row>
    <row r="30" ht="15" customHeight="1" spans="1:4">
      <c r="A30" s="104">
        <v>12</v>
      </c>
      <c r="B30" s="104" t="s">
        <v>752</v>
      </c>
      <c r="C30" s="104">
        <v>1397</v>
      </c>
      <c r="D30" s="104" t="s">
        <v>753</v>
      </c>
    </row>
    <row r="31" ht="15" customHeight="1" spans="1:4">
      <c r="A31" s="104">
        <v>13</v>
      </c>
      <c r="B31" s="104" t="s">
        <v>754</v>
      </c>
      <c r="C31" s="104">
        <v>1402</v>
      </c>
      <c r="D31" s="104" t="s">
        <v>755</v>
      </c>
    </row>
    <row r="32" ht="15" customHeight="1" spans="1:4">
      <c r="A32" s="104">
        <v>14</v>
      </c>
      <c r="B32" s="104" t="s">
        <v>756</v>
      </c>
      <c r="C32" s="104">
        <v>1338</v>
      </c>
      <c r="D32" s="104" t="s">
        <v>757</v>
      </c>
    </row>
    <row r="33" ht="15" customHeight="1" spans="1:4">
      <c r="A33" s="104">
        <v>15</v>
      </c>
      <c r="B33" s="104" t="s">
        <v>758</v>
      </c>
      <c r="C33" s="104">
        <v>1415</v>
      </c>
      <c r="D33" s="104" t="s">
        <v>759</v>
      </c>
    </row>
    <row r="34" ht="15" customHeight="1" spans="1:4">
      <c r="A34" s="104">
        <v>16</v>
      </c>
      <c r="B34" s="104" t="s">
        <v>760</v>
      </c>
      <c r="C34" s="104">
        <v>1587</v>
      </c>
      <c r="D34" s="104" t="s">
        <v>761</v>
      </c>
    </row>
    <row r="35" ht="15" customHeight="1" spans="1:4">
      <c r="A35" s="104">
        <v>17</v>
      </c>
      <c r="B35" s="104" t="s">
        <v>762</v>
      </c>
      <c r="C35" s="104">
        <v>1338</v>
      </c>
      <c r="D35" s="104" t="s">
        <v>763</v>
      </c>
    </row>
    <row r="36" ht="15" customHeight="1" spans="1:4">
      <c r="A36" s="104">
        <v>18</v>
      </c>
      <c r="B36" s="104" t="s">
        <v>764</v>
      </c>
      <c r="C36" s="104">
        <v>1318</v>
      </c>
      <c r="D36" s="104" t="s">
        <v>765</v>
      </c>
    </row>
    <row r="37" ht="15" customHeight="1" spans="1:4">
      <c r="A37" s="104">
        <v>19</v>
      </c>
      <c r="B37" s="104" t="s">
        <v>766</v>
      </c>
      <c r="C37" s="104">
        <v>1210</v>
      </c>
      <c r="D37" s="104" t="s">
        <v>767</v>
      </c>
    </row>
    <row r="38" ht="15" customHeight="1" spans="1:4">
      <c r="A38" s="104">
        <v>20</v>
      </c>
      <c r="B38" s="104" t="s">
        <v>768</v>
      </c>
      <c r="C38" s="104">
        <v>1264</v>
      </c>
      <c r="D38" s="104" t="s">
        <v>769</v>
      </c>
    </row>
    <row r="39" ht="15" customHeight="1" spans="1:4">
      <c r="A39" s="104">
        <v>21</v>
      </c>
      <c r="B39" s="104" t="s">
        <v>770</v>
      </c>
      <c r="C39" s="104">
        <v>1372</v>
      </c>
      <c r="D39" s="104" t="s">
        <v>771</v>
      </c>
    </row>
    <row r="40" ht="15" customHeight="1" spans="1:4">
      <c r="A40" s="104">
        <v>22</v>
      </c>
      <c r="B40" s="104" t="s">
        <v>772</v>
      </c>
      <c r="C40" s="104">
        <v>1512</v>
      </c>
      <c r="D40" s="104" t="s">
        <v>773</v>
      </c>
    </row>
    <row r="41" ht="15" customHeight="1" spans="1:4">
      <c r="A41" s="104">
        <v>23</v>
      </c>
      <c r="B41" s="104" t="s">
        <v>774</v>
      </c>
      <c r="C41" s="104">
        <v>1695</v>
      </c>
      <c r="D41" s="104" t="s">
        <v>775</v>
      </c>
    </row>
    <row r="42" ht="15" customHeight="1" spans="1:4">
      <c r="A42" s="104">
        <v>24</v>
      </c>
      <c r="B42" s="104" t="s">
        <v>776</v>
      </c>
      <c r="C42" s="104">
        <v>1408</v>
      </c>
      <c r="D42" s="104" t="s">
        <v>777</v>
      </c>
    </row>
    <row r="43" ht="15" customHeight="1"/>
    <row r="44" ht="15" customHeight="1" spans="1:4">
      <c r="A44" t="s">
        <v>251</v>
      </c>
      <c r="C44">
        <f>SUM(C19:C42)</f>
        <v>33743</v>
      </c>
    </row>
    <row r="47" spans="1:4">
      <c r="A47" t="s">
        <v>252</v>
      </c>
    </row>
    <row r="48" spans="1:4">
      <c r="A48" t="s">
        <v>253</v>
      </c>
    </row>
    <row r="49" spans="1:3">
      <c r="A49" t="s">
        <v>254</v>
      </c>
    </row>
    <row r="50" spans="1:3">
      <c r="A50" t="s">
        <v>255</v>
      </c>
      <c r="C50" t="s">
        <v>256</v>
      </c>
    </row>
    <row r="51" spans="1:3">
      <c r="A51" t="s">
        <v>257</v>
      </c>
      <c r="C51" t="s">
        <v>258</v>
      </c>
    </row>
  </sheetData>
  <mergeCells count="8">
    <mergeCell ref="A3:B3"/>
    <mergeCell ref="A4:B4"/>
    <mergeCell ref="A5:C5"/>
    <mergeCell ref="A6:D6"/>
    <mergeCell ref="A9:B9"/>
    <mergeCell ref="A43:C43"/>
    <mergeCell ref="A1:D2"/>
    <mergeCell ref="C13:D14"/>
  </mergeCells>
  <pageMargins left="0.7" right="0.7" top="0.75" bottom="0.75" header="0.3" footer="0.3"/>
  <pageSetup paperSize="9" scale="90"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BP!B24</f>
        <v>EX202609-0518</v>
      </c>
    </row>
    <row r="8" spans="1:4">
      <c r="A8" s="95" t="s">
        <v>191</v>
      </c>
      <c r="B8" s="57">
        <f>BP!M41</f>
        <v>46276</v>
      </c>
      <c r="C8" s="96"/>
      <c r="D8" s="95"/>
    </row>
    <row r="9" spans="1:4">
      <c r="A9" s="93" t="s">
        <v>192</v>
      </c>
      <c r="B9" s="93"/>
      <c r="C9" s="95"/>
      <c r="D9" s="97"/>
    </row>
    <row r="10" ht="17.6" spans="1:4">
      <c r="A10" s="91" t="s">
        <v>193</v>
      </c>
      <c r="B10" s="94" t="str">
        <f>IF(BP!C24="","",BP!C24)</f>
        <v>T407DNB</v>
      </c>
      <c r="C10" s="41"/>
      <c r="D10" s="91"/>
    </row>
    <row r="11" spans="1:4">
      <c r="A11" s="91" t="s">
        <v>194</v>
      </c>
      <c r="B11" s="98" t="str">
        <f>IF(BP!D24="","",BP!D24)</f>
        <v>T480BRX</v>
      </c>
      <c r="C11" s="93" t="s">
        <v>195</v>
      </c>
      <c r="D11" s="94" t="str">
        <f>IF(BP!E24="","",BP!E24)</f>
        <v>T414EMV</v>
      </c>
    </row>
    <row r="12" ht="17.6" spans="1:4">
      <c r="A12" s="91" t="s">
        <v>196</v>
      </c>
      <c r="B12" s="98" t="str">
        <f>IF(BP!G24="","",BP!G24)</f>
        <v>ALEX PETER</v>
      </c>
      <c r="C12" s="99" t="s">
        <v>197</v>
      </c>
      <c r="D12" s="91" t="str">
        <f>IF(BP!H24="","",BP!H24)</f>
        <v>AB02100906</v>
      </c>
    </row>
    <row r="13" spans="1:4">
      <c r="A13" s="91" t="s">
        <v>198</v>
      </c>
      <c r="B13" s="91"/>
      <c r="C13" s="100"/>
      <c r="D13" s="100"/>
    </row>
    <row r="14" spans="1:4">
      <c r="A14" s="91" t="s">
        <v>199</v>
      </c>
      <c r="B14" s="94" t="str">
        <f>IF(BP!I24="","",BP!I24)</f>
        <v>C.STEINWEG BRIDGE (PTY) LTD</v>
      </c>
      <c r="C14" s="100"/>
      <c r="D14" s="100"/>
    </row>
    <row r="15" spans="1:4">
      <c r="A15" s="95" t="s">
        <v>200</v>
      </c>
      <c r="B15" s="101" t="s">
        <v>201</v>
      </c>
      <c r="C15" s="102"/>
      <c r="D15" s="102"/>
    </row>
    <row r="16" spans="1:4">
      <c r="A16" s="95" t="s">
        <v>202</v>
      </c>
      <c r="B16" s="101" t="str">
        <f>IF(BP!J24="","",BP!J24)</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778</v>
      </c>
      <c r="C19" s="104">
        <v>1349</v>
      </c>
      <c r="D19" s="104" t="s">
        <v>779</v>
      </c>
    </row>
    <row r="20" ht="15" customHeight="1" spans="1:4">
      <c r="A20" s="104">
        <v>2</v>
      </c>
      <c r="B20" s="104" t="s">
        <v>780</v>
      </c>
      <c r="C20" s="104">
        <v>1618</v>
      </c>
      <c r="D20" s="104" t="s">
        <v>781</v>
      </c>
    </row>
    <row r="21" ht="15" customHeight="1" spans="1:4">
      <c r="A21" s="104">
        <v>3</v>
      </c>
      <c r="B21" s="104" t="s">
        <v>782</v>
      </c>
      <c r="C21" s="104">
        <v>1494</v>
      </c>
      <c r="D21" s="104" t="s">
        <v>783</v>
      </c>
    </row>
    <row r="22" ht="15" customHeight="1" spans="1:4">
      <c r="A22" s="104">
        <v>4</v>
      </c>
      <c r="B22" s="104" t="s">
        <v>784</v>
      </c>
      <c r="C22" s="104">
        <v>1365</v>
      </c>
      <c r="D22" s="104" t="s">
        <v>785</v>
      </c>
    </row>
    <row r="23" ht="15" customHeight="1" spans="1:4">
      <c r="A23" s="104">
        <v>5</v>
      </c>
      <c r="B23" s="104" t="s">
        <v>786</v>
      </c>
      <c r="C23" s="104">
        <v>1482</v>
      </c>
      <c r="D23" s="104" t="s">
        <v>787</v>
      </c>
    </row>
    <row r="24" ht="15" customHeight="1" spans="1:4">
      <c r="A24" s="104">
        <v>6</v>
      </c>
      <c r="B24" s="104" t="s">
        <v>788</v>
      </c>
      <c r="C24" s="104">
        <v>1343</v>
      </c>
      <c r="D24" s="104" t="s">
        <v>789</v>
      </c>
    </row>
    <row r="25" ht="15" customHeight="1" spans="1:4">
      <c r="A25" s="104">
        <v>7</v>
      </c>
      <c r="B25" s="104" t="s">
        <v>790</v>
      </c>
      <c r="C25" s="104">
        <v>1387</v>
      </c>
      <c r="D25" s="104" t="s">
        <v>791</v>
      </c>
    </row>
    <row r="26" ht="15" customHeight="1" spans="1:4">
      <c r="A26" s="104">
        <v>8</v>
      </c>
      <c r="B26" s="104" t="s">
        <v>792</v>
      </c>
      <c r="C26" s="104">
        <v>1564</v>
      </c>
      <c r="D26" s="104" t="s">
        <v>793</v>
      </c>
    </row>
    <row r="27" ht="15" customHeight="1" spans="1:4">
      <c r="A27" s="104">
        <v>9</v>
      </c>
      <c r="B27" s="104" t="s">
        <v>794</v>
      </c>
      <c r="C27" s="104">
        <v>1512</v>
      </c>
      <c r="D27" s="104" t="s">
        <v>795</v>
      </c>
    </row>
    <row r="28" ht="15" customHeight="1" spans="1:4">
      <c r="A28" s="104">
        <v>10</v>
      </c>
      <c r="B28" s="104" t="s">
        <v>796</v>
      </c>
      <c r="C28" s="104">
        <v>1242</v>
      </c>
      <c r="D28" s="104" t="s">
        <v>797</v>
      </c>
    </row>
    <row r="29" ht="15" customHeight="1" spans="1:4">
      <c r="A29" s="104">
        <v>11</v>
      </c>
      <c r="B29" s="104" t="s">
        <v>798</v>
      </c>
      <c r="C29" s="104">
        <v>1340</v>
      </c>
      <c r="D29" s="104" t="s">
        <v>799</v>
      </c>
    </row>
    <row r="30" ht="15" customHeight="1" spans="1:4">
      <c r="A30" s="104">
        <v>12</v>
      </c>
      <c r="B30" s="104" t="s">
        <v>800</v>
      </c>
      <c r="C30" s="104">
        <v>1334</v>
      </c>
      <c r="D30" s="104" t="s">
        <v>801</v>
      </c>
    </row>
    <row r="31" ht="15" customHeight="1" spans="1:4">
      <c r="A31" s="104">
        <v>13</v>
      </c>
      <c r="B31" s="104" t="s">
        <v>802</v>
      </c>
      <c r="C31" s="104">
        <v>1397</v>
      </c>
      <c r="D31" s="104" t="s">
        <v>803</v>
      </c>
    </row>
    <row r="32" ht="15" customHeight="1" spans="1:4">
      <c r="A32" s="104">
        <v>14</v>
      </c>
      <c r="B32" s="104" t="s">
        <v>804</v>
      </c>
      <c r="C32" s="104">
        <v>1653</v>
      </c>
      <c r="D32" s="104" t="s">
        <v>805</v>
      </c>
    </row>
    <row r="33" ht="15" customHeight="1" spans="1:4">
      <c r="A33" s="104">
        <v>15</v>
      </c>
      <c r="B33" s="104" t="s">
        <v>806</v>
      </c>
      <c r="C33" s="104">
        <v>1330</v>
      </c>
      <c r="D33" s="104" t="s">
        <v>807</v>
      </c>
    </row>
    <row r="34" ht="15" customHeight="1" spans="1:4">
      <c r="A34" s="104">
        <v>16</v>
      </c>
      <c r="B34" s="104" t="s">
        <v>808</v>
      </c>
      <c r="C34" s="104">
        <v>1526</v>
      </c>
      <c r="D34" s="104" t="s">
        <v>809</v>
      </c>
    </row>
    <row r="35" ht="15" customHeight="1" spans="1:4">
      <c r="A35" s="104">
        <v>17</v>
      </c>
      <c r="B35" s="104" t="s">
        <v>810</v>
      </c>
      <c r="C35" s="104">
        <v>1398</v>
      </c>
      <c r="D35" s="104" t="s">
        <v>811</v>
      </c>
    </row>
    <row r="36" ht="15" customHeight="1" spans="1:4">
      <c r="A36" s="104">
        <v>18</v>
      </c>
      <c r="B36" s="104" t="s">
        <v>812</v>
      </c>
      <c r="C36" s="104">
        <v>1367</v>
      </c>
      <c r="D36" s="104" t="s">
        <v>813</v>
      </c>
    </row>
    <row r="37" ht="15" customHeight="1" spans="1:4">
      <c r="A37" s="104">
        <v>19</v>
      </c>
      <c r="B37" s="104" t="s">
        <v>814</v>
      </c>
      <c r="C37" s="104">
        <v>1353</v>
      </c>
      <c r="D37" s="104" t="s">
        <v>815</v>
      </c>
    </row>
    <row r="38" ht="15" customHeight="1" spans="1:4">
      <c r="A38" s="104">
        <v>20</v>
      </c>
      <c r="B38" s="104" t="s">
        <v>816</v>
      </c>
      <c r="C38" s="104">
        <v>1371</v>
      </c>
      <c r="D38" s="104" t="s">
        <v>817</v>
      </c>
    </row>
    <row r="39" ht="15" customHeight="1" spans="1:4">
      <c r="A39" s="104">
        <v>21</v>
      </c>
      <c r="B39" s="104" t="s">
        <v>818</v>
      </c>
      <c r="C39" s="104">
        <v>1467</v>
      </c>
      <c r="D39" s="104" t="s">
        <v>819</v>
      </c>
    </row>
    <row r="40" ht="15" customHeight="1" spans="1:4">
      <c r="A40" s="104">
        <v>22</v>
      </c>
      <c r="B40" s="104" t="s">
        <v>820</v>
      </c>
      <c r="C40" s="104">
        <v>1123</v>
      </c>
      <c r="D40" s="104" t="s">
        <v>821</v>
      </c>
    </row>
    <row r="41" ht="15" customHeight="1" spans="1:4">
      <c r="A41" s="104">
        <v>23</v>
      </c>
      <c r="B41" s="104" t="s">
        <v>822</v>
      </c>
      <c r="C41" s="104">
        <v>1179</v>
      </c>
      <c r="D41" s="104" t="s">
        <v>823</v>
      </c>
    </row>
    <row r="42" ht="15" customHeight="1" spans="1:4">
      <c r="A42" s="104">
        <v>24</v>
      </c>
      <c r="B42" s="104" t="s">
        <v>824</v>
      </c>
      <c r="C42" s="104">
        <v>1400</v>
      </c>
      <c r="D42" s="104" t="s">
        <v>825</v>
      </c>
    </row>
    <row r="44" spans="1:4">
      <c r="A44" t="s">
        <v>251</v>
      </c>
      <c r="C44">
        <f>SUM(C19:C42)</f>
        <v>33594</v>
      </c>
    </row>
    <row r="47" spans="1:4">
      <c r="A47" t="s">
        <v>252</v>
      </c>
    </row>
    <row r="48" spans="1:4">
      <c r="A48" t="s">
        <v>253</v>
      </c>
    </row>
    <row r="49" spans="1:3">
      <c r="A49" t="s">
        <v>254</v>
      </c>
    </row>
    <row r="50" spans="1:3">
      <c r="A50" t="s">
        <v>255</v>
      </c>
      <c r="C50" t="s">
        <v>256</v>
      </c>
    </row>
    <row r="51" spans="1:3">
      <c r="A51" t="s">
        <v>257</v>
      </c>
      <c r="C51" t="s">
        <v>258</v>
      </c>
    </row>
  </sheetData>
  <mergeCells count="8">
    <mergeCell ref="A3:B3"/>
    <mergeCell ref="A4:B4"/>
    <mergeCell ref="A5:C5"/>
    <mergeCell ref="A6:D6"/>
    <mergeCell ref="A9:B9"/>
    <mergeCell ref="A43:C43"/>
    <mergeCell ref="A1:D2"/>
    <mergeCell ref="C13:D14"/>
  </mergeCells>
  <pageMargins left="0.7" right="0.7" top="0.75" bottom="0.75" header="0.3" footer="0.3"/>
  <pageSetup paperSize="9" scale="90"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2"/>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BP!B25</f>
        <v>EX202609-0519</v>
      </c>
    </row>
    <row r="8" spans="1:4">
      <c r="A8" s="95" t="s">
        <v>191</v>
      </c>
      <c r="B8" s="57">
        <f>BP!M41</f>
        <v>46276</v>
      </c>
      <c r="C8" s="96"/>
      <c r="D8" s="95"/>
    </row>
    <row r="9" spans="1:4">
      <c r="A9" s="93" t="s">
        <v>192</v>
      </c>
      <c r="B9" s="93"/>
      <c r="C9" s="95"/>
      <c r="D9" s="97"/>
    </row>
    <row r="10" ht="17.6" spans="1:4">
      <c r="A10" s="91" t="s">
        <v>193</v>
      </c>
      <c r="B10" s="94" t="str">
        <f>IF(BP!C25="","",BP!C25)</f>
        <v>T265ECC</v>
      </c>
      <c r="C10" s="41"/>
      <c r="D10" s="91"/>
    </row>
    <row r="11" spans="1:4">
      <c r="A11" s="91" t="s">
        <v>194</v>
      </c>
      <c r="B11" s="98" t="str">
        <f>IF(BP!D25="","",BP!D25)</f>
        <v>T983EBY</v>
      </c>
      <c r="C11" s="93" t="s">
        <v>195</v>
      </c>
      <c r="D11" s="94" t="str">
        <f>IF(BP!E25="","",BP!E25)</f>
        <v>T713EGF</v>
      </c>
    </row>
    <row r="12" ht="17.6" spans="1:4">
      <c r="A12" s="91" t="s">
        <v>196</v>
      </c>
      <c r="B12" s="98" t="str">
        <f>IF(BP!G25="","",BP!G25)</f>
        <v>JAPHET FIKENI KITUMA</v>
      </c>
      <c r="C12" s="99" t="s">
        <v>197</v>
      </c>
      <c r="D12" s="91" t="str">
        <f>IF(BP!H25="","",BP!H25)</f>
        <v>TAE679080</v>
      </c>
    </row>
    <row r="13" spans="1:4">
      <c r="A13" s="91" t="s">
        <v>198</v>
      </c>
      <c r="B13" s="91"/>
      <c r="C13" s="100"/>
      <c r="D13" s="100"/>
    </row>
    <row r="14" spans="1:4">
      <c r="A14" s="91" t="s">
        <v>199</v>
      </c>
      <c r="B14" s="94" t="str">
        <f>IF(BP!I25="","",BP!I25)</f>
        <v>C.STEINWEG BRIDGE (PTY) LTD</v>
      </c>
      <c r="C14" s="100"/>
      <c r="D14" s="100"/>
    </row>
    <row r="15" spans="1:4">
      <c r="A15" s="95" t="s">
        <v>200</v>
      </c>
      <c r="B15" s="101" t="s">
        <v>201</v>
      </c>
      <c r="C15" s="102"/>
      <c r="D15" s="102"/>
    </row>
    <row r="16" spans="1:4">
      <c r="A16" s="95" t="s">
        <v>202</v>
      </c>
      <c r="B16" s="101" t="str">
        <f>IF(BP!J25="","",BP!J25)</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826</v>
      </c>
      <c r="C19" s="104">
        <v>1237</v>
      </c>
      <c r="D19" s="104" t="s">
        <v>827</v>
      </c>
    </row>
    <row r="20" ht="15" customHeight="1" spans="1:4">
      <c r="A20" s="104">
        <v>2</v>
      </c>
      <c r="B20" s="104" t="s">
        <v>828</v>
      </c>
      <c r="C20" s="104">
        <v>1559</v>
      </c>
      <c r="D20" s="104" t="s">
        <v>829</v>
      </c>
    </row>
    <row r="21" ht="15" customHeight="1" spans="1:4">
      <c r="A21" s="104">
        <v>3</v>
      </c>
      <c r="B21" s="104" t="s">
        <v>830</v>
      </c>
      <c r="C21" s="104">
        <v>1492</v>
      </c>
      <c r="D21" s="104" t="s">
        <v>831</v>
      </c>
    </row>
    <row r="22" ht="15" customHeight="1" spans="1:4">
      <c r="A22" s="104">
        <v>4</v>
      </c>
      <c r="B22" s="104" t="s">
        <v>832</v>
      </c>
      <c r="C22" s="104">
        <v>1492</v>
      </c>
      <c r="D22" s="104" t="s">
        <v>833</v>
      </c>
    </row>
    <row r="23" ht="15" customHeight="1" spans="1:4">
      <c r="A23" s="104">
        <v>5</v>
      </c>
      <c r="B23" s="104" t="s">
        <v>834</v>
      </c>
      <c r="C23" s="104">
        <v>1500</v>
      </c>
      <c r="D23" s="104" t="s">
        <v>835</v>
      </c>
    </row>
    <row r="24" ht="15" customHeight="1" spans="1:4">
      <c r="A24" s="104">
        <v>6</v>
      </c>
      <c r="B24" s="104" t="s">
        <v>836</v>
      </c>
      <c r="C24" s="104">
        <v>1195</v>
      </c>
      <c r="D24" s="104" t="s">
        <v>837</v>
      </c>
    </row>
    <row r="25" ht="15" customHeight="1" spans="1:4">
      <c r="A25" s="104">
        <v>7</v>
      </c>
      <c r="B25" s="104" t="s">
        <v>838</v>
      </c>
      <c r="C25" s="104">
        <v>1216</v>
      </c>
      <c r="D25" s="104" t="s">
        <v>839</v>
      </c>
    </row>
    <row r="26" ht="15" customHeight="1" spans="1:4">
      <c r="A26" s="104">
        <v>8</v>
      </c>
      <c r="B26" s="104" t="s">
        <v>840</v>
      </c>
      <c r="C26" s="104">
        <v>1323</v>
      </c>
      <c r="D26" s="104" t="s">
        <v>841</v>
      </c>
    </row>
    <row r="27" ht="15" customHeight="1" spans="1:4">
      <c r="A27" s="104">
        <v>9</v>
      </c>
      <c r="B27" s="104" t="s">
        <v>842</v>
      </c>
      <c r="C27" s="104">
        <v>1535</v>
      </c>
      <c r="D27" s="104" t="s">
        <v>843</v>
      </c>
    </row>
    <row r="28" ht="15" customHeight="1" spans="1:4">
      <c r="A28" s="104">
        <v>10</v>
      </c>
      <c r="B28" s="104" t="s">
        <v>844</v>
      </c>
      <c r="C28" s="104">
        <v>1337</v>
      </c>
      <c r="D28" s="104" t="s">
        <v>845</v>
      </c>
    </row>
    <row r="29" ht="15" customHeight="1" spans="1:4">
      <c r="A29" s="104">
        <v>11</v>
      </c>
      <c r="B29" s="104" t="s">
        <v>846</v>
      </c>
      <c r="C29" s="104">
        <v>1255</v>
      </c>
      <c r="D29" s="104" t="s">
        <v>847</v>
      </c>
    </row>
    <row r="30" ht="15" customHeight="1" spans="1:4">
      <c r="A30" s="104">
        <v>12</v>
      </c>
      <c r="B30" s="104" t="s">
        <v>848</v>
      </c>
      <c r="C30" s="104">
        <v>1281</v>
      </c>
      <c r="D30" s="104" t="s">
        <v>849</v>
      </c>
    </row>
    <row r="31" ht="15" customHeight="1" spans="1:4">
      <c r="A31" s="104">
        <v>13</v>
      </c>
      <c r="B31" s="104" t="s">
        <v>850</v>
      </c>
      <c r="C31" s="104">
        <v>1193</v>
      </c>
      <c r="D31" s="104" t="s">
        <v>851</v>
      </c>
    </row>
    <row r="32" ht="15" customHeight="1" spans="1:4">
      <c r="A32" s="104">
        <v>14</v>
      </c>
      <c r="B32" s="104" t="s">
        <v>852</v>
      </c>
      <c r="C32" s="104">
        <v>1157</v>
      </c>
      <c r="D32" s="104" t="s">
        <v>853</v>
      </c>
    </row>
    <row r="33" ht="15" customHeight="1" spans="1:4">
      <c r="A33" s="104">
        <v>15</v>
      </c>
      <c r="B33" s="104" t="s">
        <v>854</v>
      </c>
      <c r="C33" s="104">
        <v>1263</v>
      </c>
      <c r="D33" s="104" t="s">
        <v>855</v>
      </c>
    </row>
    <row r="34" ht="15" customHeight="1" spans="1:4">
      <c r="A34" s="104">
        <v>16</v>
      </c>
      <c r="B34" s="104" t="s">
        <v>856</v>
      </c>
      <c r="C34" s="104">
        <v>1531</v>
      </c>
      <c r="D34" s="104" t="s">
        <v>857</v>
      </c>
    </row>
    <row r="35" ht="15" customHeight="1" spans="1:4">
      <c r="A35" s="104">
        <v>17</v>
      </c>
      <c r="B35" s="104" t="s">
        <v>858</v>
      </c>
      <c r="C35" s="104">
        <v>1461</v>
      </c>
      <c r="D35" s="104" t="s">
        <v>859</v>
      </c>
    </row>
    <row r="36" ht="15" customHeight="1" spans="1:4">
      <c r="A36" s="104">
        <v>18</v>
      </c>
      <c r="B36" s="104" t="s">
        <v>860</v>
      </c>
      <c r="C36" s="104">
        <v>1290</v>
      </c>
      <c r="D36" s="104" t="s">
        <v>861</v>
      </c>
    </row>
    <row r="37" ht="15" customHeight="1" spans="1:4">
      <c r="A37" s="104">
        <v>19</v>
      </c>
      <c r="B37" s="104" t="s">
        <v>862</v>
      </c>
      <c r="C37" s="104">
        <v>1376</v>
      </c>
      <c r="D37" s="104" t="s">
        <v>863</v>
      </c>
    </row>
    <row r="38" ht="15" customHeight="1" spans="1:4">
      <c r="A38" s="104">
        <v>20</v>
      </c>
      <c r="B38" s="104" t="s">
        <v>864</v>
      </c>
      <c r="C38" s="104">
        <v>1313</v>
      </c>
      <c r="D38" s="104" t="s">
        <v>865</v>
      </c>
    </row>
    <row r="39" ht="15" customHeight="1" spans="1:4">
      <c r="A39" s="104">
        <v>21</v>
      </c>
      <c r="B39" s="104" t="s">
        <v>866</v>
      </c>
      <c r="C39" s="104">
        <v>1356</v>
      </c>
      <c r="D39" s="104" t="s">
        <v>867</v>
      </c>
    </row>
    <row r="40" ht="15" customHeight="1" spans="1:4">
      <c r="A40" s="104">
        <v>22</v>
      </c>
      <c r="B40" s="104" t="s">
        <v>868</v>
      </c>
      <c r="C40" s="104">
        <v>1295</v>
      </c>
      <c r="D40" s="104" t="s">
        <v>869</v>
      </c>
    </row>
    <row r="41" ht="15" customHeight="1" spans="1:4">
      <c r="A41" s="104">
        <v>23</v>
      </c>
      <c r="B41" s="104" t="s">
        <v>870</v>
      </c>
      <c r="C41" s="104">
        <v>1400</v>
      </c>
      <c r="D41" s="104" t="s">
        <v>871</v>
      </c>
    </row>
    <row r="42" ht="15" customHeight="1" spans="1:4">
      <c r="A42" s="104">
        <v>24</v>
      </c>
      <c r="B42" s="104" t="s">
        <v>872</v>
      </c>
      <c r="C42" s="104">
        <v>1392</v>
      </c>
      <c r="D42" s="104" t="s">
        <v>873</v>
      </c>
    </row>
    <row r="43" ht="15" customHeight="1" spans="1:4">
      <c r="A43" s="104">
        <v>25</v>
      </c>
      <c r="B43" s="104" t="s">
        <v>874</v>
      </c>
      <c r="C43" s="104">
        <v>1415</v>
      </c>
      <c r="D43" s="104" t="s">
        <v>875</v>
      </c>
    </row>
    <row r="44" ht="15" customHeight="1" spans="1:4">
      <c r="A44" s="104"/>
      <c r="B44" s="104"/>
      <c r="C44" s="104"/>
      <c r="D44" s="104"/>
    </row>
    <row r="45" ht="15" customHeight="1" spans="1:4">
      <c r="A45" s="104" t="s">
        <v>251</v>
      </c>
      <c r="B45" s="104"/>
      <c r="C45" s="104">
        <f>SUM(C19:C43)</f>
        <v>33864</v>
      </c>
      <c r="D45" s="104"/>
    </row>
    <row r="48" spans="1:4">
      <c r="A48" t="s">
        <v>252</v>
      </c>
    </row>
    <row r="49" spans="1:3">
      <c r="A49" t="s">
        <v>253</v>
      </c>
    </row>
    <row r="50" spans="1:3">
      <c r="A50" t="s">
        <v>254</v>
      </c>
    </row>
    <row r="51" spans="1:3">
      <c r="A51" t="s">
        <v>255</v>
      </c>
      <c r="C51" t="s">
        <v>256</v>
      </c>
    </row>
    <row r="52" spans="1:3">
      <c r="A52" t="s">
        <v>257</v>
      </c>
      <c r="C52" t="s">
        <v>258</v>
      </c>
    </row>
  </sheetData>
  <mergeCells count="8">
    <mergeCell ref="A3:B3"/>
    <mergeCell ref="A4:B4"/>
    <mergeCell ref="A5:C5"/>
    <mergeCell ref="A6:D6"/>
    <mergeCell ref="A9:B9"/>
    <mergeCell ref="A44:C44"/>
    <mergeCell ref="A1:D2"/>
    <mergeCell ref="C13:D14"/>
  </mergeCells>
  <pageMargins left="0.7" right="0.7" top="0.75" bottom="0.75" header="0.3" footer="0.3"/>
  <pageSetup paperSize="9" scale="90"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0"/>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BP!B26</f>
        <v>EX202609-0520</v>
      </c>
    </row>
    <row r="8" spans="1:4">
      <c r="A8" s="95" t="s">
        <v>191</v>
      </c>
      <c r="B8" s="57">
        <f>BP!M41</f>
        <v>46276</v>
      </c>
      <c r="C8" s="96"/>
      <c r="D8" s="95"/>
    </row>
    <row r="9" spans="1:4">
      <c r="A9" s="93" t="s">
        <v>192</v>
      </c>
      <c r="B9" s="93"/>
      <c r="C9" s="95"/>
      <c r="D9" s="97"/>
    </row>
    <row r="10" ht="17.6" spans="1:4">
      <c r="A10" s="91" t="s">
        <v>193</v>
      </c>
      <c r="B10" s="94" t="str">
        <f>IF(BP!C26="","",BP!C26)</f>
        <v>T485EAL</v>
      </c>
      <c r="C10" s="41"/>
      <c r="D10" s="91"/>
    </row>
    <row r="11" spans="1:4">
      <c r="A11" s="91" t="s">
        <v>194</v>
      </c>
      <c r="B11" s="98" t="str">
        <f>IF(BP!D26="","",BP!D26)</f>
        <v>T331DEN</v>
      </c>
      <c r="C11" s="93" t="s">
        <v>195</v>
      </c>
      <c r="D11" s="94" t="str">
        <f>IF(BP!E26="","",BP!E26)</f>
        <v>T710EGF</v>
      </c>
    </row>
    <row r="12" ht="17.6" spans="1:4">
      <c r="A12" s="91" t="s">
        <v>196</v>
      </c>
      <c r="B12" s="98" t="str">
        <f>IF(BP!G26="","",BP!G26)</f>
        <v>EDIGA YORAM</v>
      </c>
      <c r="C12" s="99" t="s">
        <v>197</v>
      </c>
      <c r="D12" s="91" t="str">
        <f>IF(BP!H26="","",BP!H26)</f>
        <v>AB02093890</v>
      </c>
    </row>
    <row r="13" spans="1:4">
      <c r="A13" s="91" t="s">
        <v>198</v>
      </c>
      <c r="B13" s="91"/>
      <c r="C13" s="100"/>
      <c r="D13" s="100"/>
    </row>
    <row r="14" spans="1:4">
      <c r="A14" s="91" t="s">
        <v>199</v>
      </c>
      <c r="B14" s="94" t="str">
        <f>IF(BP!I26="","",BP!I26)</f>
        <v>C.STEINWEG BRIDGE (PTY) LTD</v>
      </c>
      <c r="C14" s="100"/>
      <c r="D14" s="100"/>
    </row>
    <row r="15" spans="1:4">
      <c r="A15" s="95" t="s">
        <v>200</v>
      </c>
      <c r="B15" s="101" t="s">
        <v>201</v>
      </c>
      <c r="C15" s="102"/>
      <c r="D15" s="102"/>
    </row>
    <row r="16" spans="1:4">
      <c r="A16" s="95" t="s">
        <v>202</v>
      </c>
      <c r="B16" s="101" t="str">
        <f>IF(BP!J26="","",BP!J26)</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876</v>
      </c>
      <c r="C19" s="104">
        <v>1410</v>
      </c>
      <c r="D19" s="104" t="s">
        <v>877</v>
      </c>
    </row>
    <row r="20" ht="15" customHeight="1" spans="1:4">
      <c r="A20" s="104">
        <v>2</v>
      </c>
      <c r="B20" s="104" t="s">
        <v>878</v>
      </c>
      <c r="C20" s="104">
        <v>1408</v>
      </c>
      <c r="D20" s="104" t="s">
        <v>879</v>
      </c>
    </row>
    <row r="21" ht="15" customHeight="1" spans="1:4">
      <c r="A21" s="104">
        <v>3</v>
      </c>
      <c r="B21" s="104" t="s">
        <v>880</v>
      </c>
      <c r="C21" s="104">
        <v>1427</v>
      </c>
      <c r="D21" s="104" t="s">
        <v>881</v>
      </c>
    </row>
    <row r="22" ht="15" customHeight="1" spans="1:4">
      <c r="A22" s="104">
        <v>4</v>
      </c>
      <c r="B22" s="104" t="s">
        <v>882</v>
      </c>
      <c r="C22" s="104">
        <v>1613</v>
      </c>
      <c r="D22" s="104" t="s">
        <v>883</v>
      </c>
    </row>
    <row r="23" ht="15" customHeight="1" spans="1:4">
      <c r="A23" s="104">
        <v>5</v>
      </c>
      <c r="B23" s="104" t="s">
        <v>884</v>
      </c>
      <c r="C23" s="104">
        <v>1451</v>
      </c>
      <c r="D23" s="104" t="s">
        <v>885</v>
      </c>
    </row>
    <row r="24" ht="15" customHeight="1" spans="1:4">
      <c r="A24" s="104">
        <v>6</v>
      </c>
      <c r="B24" s="104" t="s">
        <v>886</v>
      </c>
      <c r="C24" s="104">
        <v>1457</v>
      </c>
      <c r="D24" s="104" t="s">
        <v>887</v>
      </c>
    </row>
    <row r="25" ht="15" customHeight="1" spans="1:4">
      <c r="A25" s="104">
        <v>7</v>
      </c>
      <c r="B25" s="104" t="s">
        <v>888</v>
      </c>
      <c r="C25" s="104">
        <v>1527</v>
      </c>
      <c r="D25" s="104" t="s">
        <v>889</v>
      </c>
    </row>
    <row r="26" ht="15" customHeight="1" spans="1:4">
      <c r="A26" s="104">
        <v>8</v>
      </c>
      <c r="B26" s="104" t="s">
        <v>890</v>
      </c>
      <c r="C26" s="104">
        <v>1387</v>
      </c>
      <c r="D26" s="104" t="s">
        <v>891</v>
      </c>
    </row>
    <row r="27" ht="15" customHeight="1" spans="1:4">
      <c r="A27" s="104">
        <v>9</v>
      </c>
      <c r="B27" s="104" t="s">
        <v>892</v>
      </c>
      <c r="C27" s="104">
        <v>1518</v>
      </c>
      <c r="D27" s="104" t="s">
        <v>893</v>
      </c>
    </row>
    <row r="28" ht="15" customHeight="1" spans="1:4">
      <c r="A28" s="104">
        <v>10</v>
      </c>
      <c r="B28" s="104" t="s">
        <v>894</v>
      </c>
      <c r="C28" s="104">
        <v>1480</v>
      </c>
      <c r="D28" s="104" t="s">
        <v>895</v>
      </c>
    </row>
    <row r="29" ht="15" customHeight="1" spans="1:4">
      <c r="A29" s="104">
        <v>11</v>
      </c>
      <c r="B29" s="104" t="s">
        <v>896</v>
      </c>
      <c r="C29" s="104">
        <v>1381</v>
      </c>
      <c r="D29" s="104" t="s">
        <v>897</v>
      </c>
    </row>
    <row r="30" ht="15" customHeight="1" spans="1:4">
      <c r="A30" s="104">
        <v>12</v>
      </c>
      <c r="B30" s="104" t="s">
        <v>898</v>
      </c>
      <c r="C30" s="104">
        <v>1463</v>
      </c>
      <c r="D30" s="104" t="s">
        <v>899</v>
      </c>
    </row>
    <row r="31" ht="15" customHeight="1" spans="1:4">
      <c r="A31" s="104">
        <v>13</v>
      </c>
      <c r="B31" s="104" t="s">
        <v>900</v>
      </c>
      <c r="C31" s="104">
        <v>1613</v>
      </c>
      <c r="D31" s="104" t="s">
        <v>901</v>
      </c>
    </row>
    <row r="32" ht="15" customHeight="1" spans="1:4">
      <c r="A32" s="104">
        <v>14</v>
      </c>
      <c r="B32" s="104" t="s">
        <v>902</v>
      </c>
      <c r="C32" s="104">
        <v>1268</v>
      </c>
      <c r="D32" s="104" t="s">
        <v>903</v>
      </c>
    </row>
    <row r="33" ht="15" customHeight="1" spans="1:4">
      <c r="A33" s="104">
        <v>15</v>
      </c>
      <c r="B33" s="104" t="s">
        <v>904</v>
      </c>
      <c r="C33" s="104">
        <v>1533</v>
      </c>
      <c r="D33" s="104" t="s">
        <v>905</v>
      </c>
    </row>
    <row r="34" ht="15" customHeight="1" spans="1:4">
      <c r="A34" s="104">
        <v>16</v>
      </c>
      <c r="B34" s="104" t="s">
        <v>906</v>
      </c>
      <c r="C34" s="104">
        <v>1475</v>
      </c>
      <c r="D34" s="104" t="s">
        <v>907</v>
      </c>
    </row>
    <row r="35" ht="15" customHeight="1" spans="1:4">
      <c r="A35" s="104">
        <v>17</v>
      </c>
      <c r="B35" s="104" t="s">
        <v>908</v>
      </c>
      <c r="C35" s="104">
        <v>1686</v>
      </c>
      <c r="D35" s="104" t="s">
        <v>909</v>
      </c>
    </row>
    <row r="36" ht="15" customHeight="1" spans="1:4">
      <c r="A36" s="104">
        <v>18</v>
      </c>
      <c r="B36" s="104" t="s">
        <v>910</v>
      </c>
      <c r="C36" s="104">
        <v>1478</v>
      </c>
      <c r="D36" s="104" t="s">
        <v>911</v>
      </c>
    </row>
    <row r="37" ht="15" customHeight="1" spans="1:4">
      <c r="A37" s="104">
        <v>19</v>
      </c>
      <c r="B37" s="104" t="s">
        <v>912</v>
      </c>
      <c r="C37" s="104">
        <v>1467</v>
      </c>
      <c r="D37" s="104" t="s">
        <v>913</v>
      </c>
    </row>
    <row r="38" ht="15" customHeight="1" spans="1:4">
      <c r="A38" s="104">
        <v>20</v>
      </c>
      <c r="B38" s="104" t="s">
        <v>914</v>
      </c>
      <c r="C38" s="104">
        <v>1570</v>
      </c>
      <c r="D38" s="104" t="s">
        <v>915</v>
      </c>
    </row>
    <row r="39" ht="15" customHeight="1" spans="1:4">
      <c r="A39" s="104">
        <v>21</v>
      </c>
      <c r="B39" s="104" t="s">
        <v>916</v>
      </c>
      <c r="C39" s="104">
        <v>1426</v>
      </c>
      <c r="D39" s="104" t="s">
        <v>917</v>
      </c>
    </row>
    <row r="40" ht="15" customHeight="1" spans="1:4">
      <c r="A40" s="104">
        <v>22</v>
      </c>
      <c r="B40" s="104" t="s">
        <v>918</v>
      </c>
      <c r="C40" s="104">
        <v>1378</v>
      </c>
      <c r="D40" s="104" t="s">
        <v>919</v>
      </c>
    </row>
    <row r="41" ht="15" customHeight="1" spans="1:4">
      <c r="A41" s="104">
        <v>23</v>
      </c>
      <c r="B41" s="104" t="s">
        <v>920</v>
      </c>
      <c r="C41" s="104">
        <v>1408</v>
      </c>
      <c r="D41" s="104" t="s">
        <v>921</v>
      </c>
    </row>
    <row r="42" ht="15" customHeight="1" spans="1:4">
      <c r="A42" s="104"/>
      <c r="B42" s="104"/>
      <c r="C42" s="104"/>
      <c r="D42" s="104"/>
    </row>
    <row r="43" spans="1:4">
      <c r="A43" t="s">
        <v>251</v>
      </c>
      <c r="C43">
        <f>SUM(C19:C41)</f>
        <v>33824</v>
      </c>
    </row>
    <row r="46" spans="1:4">
      <c r="A46" t="s">
        <v>252</v>
      </c>
    </row>
    <row r="47" spans="1:4">
      <c r="A47" t="s">
        <v>253</v>
      </c>
    </row>
    <row r="48" spans="1:4">
      <c r="A48" t="s">
        <v>254</v>
      </c>
    </row>
    <row r="49" spans="1:3">
      <c r="A49" t="s">
        <v>255</v>
      </c>
      <c r="C49" t="s">
        <v>256</v>
      </c>
    </row>
    <row r="50" spans="1:3">
      <c r="A50" t="s">
        <v>257</v>
      </c>
      <c r="C50" t="s">
        <v>258</v>
      </c>
    </row>
  </sheetData>
  <mergeCells count="8">
    <mergeCell ref="A3:B3"/>
    <mergeCell ref="A4:B4"/>
    <mergeCell ref="A5:C5"/>
    <mergeCell ref="A6:D6"/>
    <mergeCell ref="A9:B9"/>
    <mergeCell ref="A42:C42"/>
    <mergeCell ref="A1:D2"/>
    <mergeCell ref="C13:D14"/>
  </mergeCells>
  <pageMargins left="0.7" right="0.7" top="0.75" bottom="0.75" header="0.3" footer="0.3"/>
  <pageSetup paperSize="9" scale="93"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BP!B27</f>
        <v>EX202609-0521</v>
      </c>
    </row>
    <row r="8" spans="1:4">
      <c r="A8" s="95" t="s">
        <v>191</v>
      </c>
      <c r="B8" s="57">
        <f>BP!M41</f>
        <v>46276</v>
      </c>
      <c r="C8" s="96"/>
      <c r="D8" s="95"/>
    </row>
    <row r="9" spans="1:4">
      <c r="A9" s="93" t="s">
        <v>192</v>
      </c>
      <c r="B9" s="93"/>
      <c r="C9" s="95"/>
      <c r="D9" s="97"/>
    </row>
    <row r="10" ht="17.6" spans="1:4">
      <c r="A10" s="91" t="s">
        <v>193</v>
      </c>
      <c r="B10" s="94" t="str">
        <f>IF(BP!C27="","",BP!C27)</f>
        <v>T177EBK</v>
      </c>
      <c r="C10" s="41"/>
      <c r="D10" s="91"/>
    </row>
    <row r="11" spans="1:4">
      <c r="A11" s="91" t="s">
        <v>194</v>
      </c>
      <c r="B11" s="98" t="str">
        <f>IF(BP!D27="","",BP!D27)</f>
        <v>T796BMY</v>
      </c>
      <c r="C11" s="93" t="s">
        <v>195</v>
      </c>
      <c r="D11" s="94" t="str">
        <f>IF(BP!E27="","",BP!E27)</f>
        <v>T973EHX</v>
      </c>
    </row>
    <row r="12" ht="17.6" spans="1:4">
      <c r="A12" s="91" t="s">
        <v>196</v>
      </c>
      <c r="B12" s="98" t="str">
        <f>IF(BP!G27="","",BP!G27)</f>
        <v>ISSA MANYANGA</v>
      </c>
      <c r="C12" s="99" t="s">
        <v>197</v>
      </c>
      <c r="D12" s="91" t="str">
        <f>IF(BP!H27="","",BP!H27)</f>
        <v>TAE842876</v>
      </c>
    </row>
    <row r="13" spans="1:4">
      <c r="A13" s="91" t="s">
        <v>198</v>
      </c>
      <c r="B13" s="91"/>
      <c r="C13" s="100"/>
      <c r="D13" s="100"/>
    </row>
    <row r="14" spans="1:4">
      <c r="A14" s="91" t="s">
        <v>199</v>
      </c>
      <c r="B14" s="94" t="str">
        <f>IF(BP!I27="","",BP!I27)</f>
        <v>C.STEINWEG BRIDGE (PTY) LTD</v>
      </c>
      <c r="C14" s="100"/>
      <c r="D14" s="100"/>
    </row>
    <row r="15" spans="1:4">
      <c r="A15" s="95" t="s">
        <v>200</v>
      </c>
      <c r="B15" s="101" t="s">
        <v>201</v>
      </c>
      <c r="C15" s="102"/>
      <c r="D15" s="102"/>
    </row>
    <row r="16" spans="1:4">
      <c r="A16" s="95" t="s">
        <v>202</v>
      </c>
      <c r="B16" s="101" t="str">
        <f>IF(BP!J27="","",BP!J27)</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922</v>
      </c>
      <c r="C19" s="104">
        <v>1398</v>
      </c>
      <c r="D19" s="104" t="s">
        <v>923</v>
      </c>
    </row>
    <row r="20" ht="15" customHeight="1" spans="1:4">
      <c r="A20" s="104">
        <v>2</v>
      </c>
      <c r="B20" s="104" t="s">
        <v>924</v>
      </c>
      <c r="C20" s="104">
        <v>1432</v>
      </c>
      <c r="D20" s="104" t="s">
        <v>925</v>
      </c>
    </row>
    <row r="21" ht="15" customHeight="1" spans="1:4">
      <c r="A21" s="104">
        <v>3</v>
      </c>
      <c r="B21" s="104" t="s">
        <v>926</v>
      </c>
      <c r="C21" s="104">
        <v>1268</v>
      </c>
      <c r="D21" s="104" t="s">
        <v>927</v>
      </c>
    </row>
    <row r="22" ht="15" customHeight="1" spans="1:4">
      <c r="A22" s="104">
        <v>4</v>
      </c>
      <c r="B22" s="104" t="s">
        <v>928</v>
      </c>
      <c r="C22" s="104">
        <v>1235</v>
      </c>
      <c r="D22" s="104" t="s">
        <v>929</v>
      </c>
    </row>
    <row r="23" ht="15" customHeight="1" spans="1:4">
      <c r="A23" s="104">
        <v>5</v>
      </c>
      <c r="B23" s="104" t="s">
        <v>930</v>
      </c>
      <c r="C23" s="104">
        <v>1363</v>
      </c>
      <c r="D23" s="104" t="s">
        <v>931</v>
      </c>
    </row>
    <row r="24" ht="15" customHeight="1" spans="1:4">
      <c r="A24" s="104">
        <v>6</v>
      </c>
      <c r="B24" s="104" t="s">
        <v>932</v>
      </c>
      <c r="C24" s="104">
        <v>1372</v>
      </c>
      <c r="D24" s="104" t="s">
        <v>933</v>
      </c>
    </row>
    <row r="25" ht="15" customHeight="1" spans="1:4">
      <c r="A25" s="104">
        <v>7</v>
      </c>
      <c r="B25" s="104" t="s">
        <v>934</v>
      </c>
      <c r="C25" s="104">
        <v>1502</v>
      </c>
      <c r="D25" s="104" t="s">
        <v>935</v>
      </c>
    </row>
    <row r="26" ht="15" customHeight="1" spans="1:4">
      <c r="A26" s="104">
        <v>8</v>
      </c>
      <c r="B26" s="104" t="s">
        <v>936</v>
      </c>
      <c r="C26" s="104">
        <v>1323</v>
      </c>
      <c r="D26" s="104" t="s">
        <v>937</v>
      </c>
    </row>
    <row r="27" ht="15" customHeight="1" spans="1:4">
      <c r="A27" s="104">
        <v>9</v>
      </c>
      <c r="B27" s="104" t="s">
        <v>938</v>
      </c>
      <c r="C27" s="104">
        <v>1680</v>
      </c>
      <c r="D27" s="104" t="s">
        <v>939</v>
      </c>
    </row>
    <row r="28" ht="15" customHeight="1" spans="1:4">
      <c r="A28" s="104">
        <v>10</v>
      </c>
      <c r="B28" s="104" t="s">
        <v>940</v>
      </c>
      <c r="C28" s="104">
        <v>1297</v>
      </c>
      <c r="D28" s="104" t="s">
        <v>941</v>
      </c>
    </row>
    <row r="29" ht="15" customHeight="1" spans="1:4">
      <c r="A29" s="104">
        <v>11</v>
      </c>
      <c r="B29" s="104" t="s">
        <v>942</v>
      </c>
      <c r="C29" s="104">
        <v>1541</v>
      </c>
      <c r="D29" s="104" t="s">
        <v>943</v>
      </c>
    </row>
    <row r="30" ht="15" customHeight="1" spans="1:4">
      <c r="A30" s="104">
        <v>12</v>
      </c>
      <c r="B30" s="104" t="s">
        <v>944</v>
      </c>
      <c r="C30" s="104">
        <v>1511</v>
      </c>
      <c r="D30" s="104" t="s">
        <v>945</v>
      </c>
    </row>
    <row r="31" ht="15" customHeight="1" spans="1:4">
      <c r="A31" s="104">
        <v>13</v>
      </c>
      <c r="B31" s="104" t="s">
        <v>946</v>
      </c>
      <c r="C31" s="104">
        <v>1302</v>
      </c>
      <c r="D31" s="104" t="s">
        <v>947</v>
      </c>
    </row>
    <row r="32" ht="15" customHeight="1" spans="1:4">
      <c r="A32" s="104">
        <v>14</v>
      </c>
      <c r="B32" s="104" t="s">
        <v>948</v>
      </c>
      <c r="C32" s="104">
        <v>1658</v>
      </c>
      <c r="D32" s="104" t="s">
        <v>949</v>
      </c>
    </row>
    <row r="33" ht="15" customHeight="1" spans="1:4">
      <c r="A33" s="104">
        <v>15</v>
      </c>
      <c r="B33" s="104" t="s">
        <v>950</v>
      </c>
      <c r="C33" s="104">
        <v>1203</v>
      </c>
      <c r="D33" s="104" t="s">
        <v>951</v>
      </c>
    </row>
    <row r="34" ht="15" customHeight="1" spans="1:4">
      <c r="A34" s="104">
        <v>16</v>
      </c>
      <c r="B34" s="104" t="s">
        <v>952</v>
      </c>
      <c r="C34" s="104">
        <v>1587</v>
      </c>
      <c r="D34" s="104" t="s">
        <v>953</v>
      </c>
    </row>
    <row r="35" ht="15" customHeight="1" spans="1:4">
      <c r="A35" s="104">
        <v>17</v>
      </c>
      <c r="B35" s="104" t="s">
        <v>954</v>
      </c>
      <c r="C35" s="104">
        <v>1318</v>
      </c>
      <c r="D35" s="104" t="s">
        <v>955</v>
      </c>
    </row>
    <row r="36" ht="15" customHeight="1" spans="1:4">
      <c r="A36" s="104">
        <v>18</v>
      </c>
      <c r="B36" s="104" t="s">
        <v>956</v>
      </c>
      <c r="C36" s="104">
        <v>1278</v>
      </c>
      <c r="D36" s="104" t="s">
        <v>957</v>
      </c>
    </row>
    <row r="37" ht="15" customHeight="1" spans="1:4">
      <c r="A37" s="104">
        <v>19</v>
      </c>
      <c r="B37" s="104" t="s">
        <v>958</v>
      </c>
      <c r="C37" s="104">
        <v>1410</v>
      </c>
      <c r="D37" s="104" t="s">
        <v>959</v>
      </c>
    </row>
    <row r="38" ht="15" customHeight="1" spans="1:4">
      <c r="A38" s="104">
        <v>20</v>
      </c>
      <c r="B38" s="104" t="s">
        <v>960</v>
      </c>
      <c r="C38" s="104">
        <v>1386</v>
      </c>
      <c r="D38" s="104" t="s">
        <v>961</v>
      </c>
    </row>
    <row r="39" ht="15" customHeight="1" spans="1:4">
      <c r="A39" s="104">
        <v>21</v>
      </c>
      <c r="B39" s="104" t="s">
        <v>962</v>
      </c>
      <c r="C39" s="104">
        <v>1332</v>
      </c>
      <c r="D39" s="104" t="s">
        <v>963</v>
      </c>
    </row>
    <row r="40" ht="15" customHeight="1" spans="1:4">
      <c r="A40" s="104">
        <v>22</v>
      </c>
      <c r="B40" s="104" t="s">
        <v>964</v>
      </c>
      <c r="C40" s="104">
        <v>1678</v>
      </c>
      <c r="D40" s="104" t="s">
        <v>965</v>
      </c>
    </row>
    <row r="41" ht="15" customHeight="1" spans="1:4">
      <c r="A41" s="104">
        <v>23</v>
      </c>
      <c r="B41" s="104" t="s">
        <v>966</v>
      </c>
      <c r="C41" s="104">
        <v>1561</v>
      </c>
      <c r="D41" s="104" t="s">
        <v>967</v>
      </c>
    </row>
    <row r="42" ht="15" customHeight="1" spans="1:4">
      <c r="A42" s="104">
        <v>24</v>
      </c>
      <c r="B42" s="104" t="s">
        <v>968</v>
      </c>
      <c r="C42" s="104">
        <v>1367</v>
      </c>
      <c r="D42" s="104" t="s">
        <v>969</v>
      </c>
    </row>
    <row r="43" ht="15" customHeight="1" spans="1:4">
      <c r="A43" s="104"/>
      <c r="B43" s="104"/>
      <c r="C43" s="104"/>
      <c r="D43" s="104"/>
    </row>
    <row r="44" ht="15" customHeight="1" spans="1:4">
      <c r="A44" s="104" t="s">
        <v>251</v>
      </c>
      <c r="B44" s="104"/>
      <c r="C44" s="104">
        <f>SUM(C19:C42)</f>
        <v>34002</v>
      </c>
      <c r="D44" s="104"/>
    </row>
    <row r="45" ht="15" customHeight="1" spans="1:4">
      <c r="A45" s="104"/>
      <c r="B45" s="104"/>
      <c r="C45" s="104"/>
      <c r="D45" s="104"/>
    </row>
    <row r="46" spans="1:4">
      <c r="A46" s="104"/>
      <c r="B46" s="104"/>
      <c r="C46" s="104"/>
      <c r="D46" s="104"/>
    </row>
    <row r="47" spans="1:4">
      <c r="A47" t="s">
        <v>252</v>
      </c>
    </row>
    <row r="48" spans="1:4">
      <c r="A48" t="s">
        <v>253</v>
      </c>
    </row>
    <row r="49" spans="1:3">
      <c r="A49" t="s">
        <v>254</v>
      </c>
    </row>
    <row r="50" spans="1:3">
      <c r="A50" t="s">
        <v>255</v>
      </c>
      <c r="C50" t="s">
        <v>256</v>
      </c>
    </row>
    <row r="51" spans="1:3">
      <c r="A51" t="s">
        <v>257</v>
      </c>
      <c r="C51" t="s">
        <v>258</v>
      </c>
    </row>
  </sheetData>
  <mergeCells count="8">
    <mergeCell ref="A3:B3"/>
    <mergeCell ref="A4:B4"/>
    <mergeCell ref="A5:C5"/>
    <mergeCell ref="A6:D6"/>
    <mergeCell ref="A9:B9"/>
    <mergeCell ref="A43:C43"/>
    <mergeCell ref="A1:D2"/>
    <mergeCell ref="C13:D14"/>
  </mergeCells>
  <pageMargins left="0.7" right="0.7" top="0.75" bottom="0.75" header="0.3" footer="0.3"/>
  <pageSetup paperSize="9" scale="90"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49"/>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BP!B28</f>
        <v>EX202609-0522</v>
      </c>
    </row>
    <row r="8" spans="1:4">
      <c r="A8" s="95" t="s">
        <v>191</v>
      </c>
      <c r="B8" s="57">
        <f>BP!M41</f>
        <v>46276</v>
      </c>
      <c r="C8" s="96"/>
      <c r="D8" s="95"/>
    </row>
    <row r="9" spans="1:4">
      <c r="A9" s="93" t="s">
        <v>192</v>
      </c>
      <c r="B9" s="93"/>
      <c r="C9" s="95"/>
      <c r="D9" s="97"/>
    </row>
    <row r="10" ht="17.6" spans="1:4">
      <c r="A10" s="91" t="s">
        <v>193</v>
      </c>
      <c r="B10" s="94" t="str">
        <f>IF(BP!C28="","",BP!C28)</f>
        <v>T952DUM</v>
      </c>
      <c r="C10" s="41"/>
      <c r="D10" s="91"/>
    </row>
    <row r="11" spans="1:4">
      <c r="A11" s="91" t="s">
        <v>194</v>
      </c>
      <c r="B11" s="98" t="str">
        <f>IF(BP!D28="","",BP!D28)</f>
        <v>T919ASZ</v>
      </c>
      <c r="C11" s="93" t="s">
        <v>195</v>
      </c>
      <c r="D11" s="94" t="str">
        <f>IF(BP!E28="","",BP!E28)</f>
        <v>NA</v>
      </c>
    </row>
    <row r="12" ht="17.6" spans="1:4">
      <c r="A12" s="91" t="s">
        <v>196</v>
      </c>
      <c r="B12" s="98" t="str">
        <f>IF(BP!G28="","",BP!G28)</f>
        <v>MIKA KISUNGWE</v>
      </c>
      <c r="C12" s="99" t="s">
        <v>197</v>
      </c>
      <c r="D12" s="91" t="str">
        <f>IF(BP!H28="","",BP!H28)</f>
        <v>TAE650086</v>
      </c>
    </row>
    <row r="13" spans="1:4">
      <c r="A13" s="91" t="s">
        <v>198</v>
      </c>
      <c r="B13" s="91"/>
      <c r="C13" s="100"/>
      <c r="D13" s="100"/>
    </row>
    <row r="14" spans="1:4">
      <c r="A14" s="91" t="s">
        <v>199</v>
      </c>
      <c r="B14" s="94" t="str">
        <f>IF(BP!I28="","",BP!I28)</f>
        <v>C.STEINWEG BRIDGE (PTY) LTD</v>
      </c>
      <c r="C14" s="100"/>
      <c r="D14" s="100"/>
    </row>
    <row r="15" spans="1:4">
      <c r="A15" s="95" t="s">
        <v>200</v>
      </c>
      <c r="B15" s="101" t="s">
        <v>201</v>
      </c>
      <c r="C15" s="102"/>
      <c r="D15" s="102"/>
    </row>
    <row r="16" spans="1:4">
      <c r="A16" s="95" t="s">
        <v>202</v>
      </c>
      <c r="B16" s="101" t="str">
        <f>IF(BP!J28="","",BP!J28)</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970</v>
      </c>
      <c r="C19" s="104">
        <v>1417</v>
      </c>
      <c r="D19" s="104" t="s">
        <v>971</v>
      </c>
    </row>
    <row r="20" ht="15" customHeight="1" spans="1:4">
      <c r="A20" s="104">
        <v>2</v>
      </c>
      <c r="B20" s="104" t="s">
        <v>972</v>
      </c>
      <c r="C20" s="104">
        <v>1411</v>
      </c>
      <c r="D20" s="104" t="s">
        <v>973</v>
      </c>
    </row>
    <row r="21" ht="15" customHeight="1" spans="1:4">
      <c r="A21" s="104">
        <v>3</v>
      </c>
      <c r="B21" s="104" t="s">
        <v>974</v>
      </c>
      <c r="C21" s="104">
        <v>1242</v>
      </c>
      <c r="D21" s="104" t="s">
        <v>975</v>
      </c>
    </row>
    <row r="22" ht="15" customHeight="1" spans="1:4">
      <c r="A22" s="104">
        <v>4</v>
      </c>
      <c r="B22" s="104" t="s">
        <v>976</v>
      </c>
      <c r="C22" s="104">
        <v>1336</v>
      </c>
      <c r="D22" s="104" t="s">
        <v>977</v>
      </c>
    </row>
    <row r="23" ht="15" customHeight="1" spans="1:4">
      <c r="A23" s="104">
        <v>5</v>
      </c>
      <c r="B23" s="104" t="s">
        <v>978</v>
      </c>
      <c r="C23" s="104">
        <v>1482</v>
      </c>
      <c r="D23" s="104" t="s">
        <v>979</v>
      </c>
    </row>
    <row r="24" ht="15" customHeight="1" spans="1:4">
      <c r="A24" s="104">
        <v>6</v>
      </c>
      <c r="B24" s="104" t="s">
        <v>980</v>
      </c>
      <c r="C24" s="104">
        <v>1618</v>
      </c>
      <c r="D24" s="104" t="s">
        <v>981</v>
      </c>
    </row>
    <row r="25" ht="15" customHeight="1" spans="1:4">
      <c r="A25" s="104">
        <v>7</v>
      </c>
      <c r="B25" s="104" t="s">
        <v>982</v>
      </c>
      <c r="C25" s="104">
        <v>1052</v>
      </c>
      <c r="D25" s="104" t="s">
        <v>983</v>
      </c>
    </row>
    <row r="26" ht="15" customHeight="1" spans="1:4">
      <c r="A26" s="104">
        <v>8</v>
      </c>
      <c r="B26" s="104" t="s">
        <v>984</v>
      </c>
      <c r="C26" s="104">
        <v>1069</v>
      </c>
      <c r="D26" s="104" t="s">
        <v>985</v>
      </c>
    </row>
    <row r="27" ht="15" customHeight="1" spans="1:4">
      <c r="A27" s="104">
        <v>9</v>
      </c>
      <c r="B27" s="104" t="s">
        <v>986</v>
      </c>
      <c r="C27" s="104">
        <v>1320</v>
      </c>
      <c r="D27" s="104" t="s">
        <v>987</v>
      </c>
    </row>
    <row r="28" ht="15" customHeight="1" spans="1:4">
      <c r="A28" s="104">
        <v>10</v>
      </c>
      <c r="B28" s="104" t="s">
        <v>988</v>
      </c>
      <c r="C28" s="104">
        <v>1449</v>
      </c>
      <c r="D28" s="104" t="s">
        <v>989</v>
      </c>
    </row>
    <row r="29" ht="15" customHeight="1" spans="1:4">
      <c r="A29" s="104">
        <v>11</v>
      </c>
      <c r="B29" s="104" t="s">
        <v>990</v>
      </c>
      <c r="C29" s="104">
        <v>1168</v>
      </c>
      <c r="D29" s="104" t="s">
        <v>991</v>
      </c>
    </row>
    <row r="30" ht="15" customHeight="1" spans="1:4">
      <c r="A30" s="104">
        <v>12</v>
      </c>
      <c r="B30" s="104" t="s">
        <v>992</v>
      </c>
      <c r="C30" s="104">
        <v>1187</v>
      </c>
      <c r="D30" s="104" t="s">
        <v>993</v>
      </c>
    </row>
    <row r="31" ht="15" customHeight="1" spans="1:4">
      <c r="A31" s="104">
        <v>13</v>
      </c>
      <c r="B31" s="104" t="s">
        <v>994</v>
      </c>
      <c r="C31" s="104">
        <v>1638</v>
      </c>
      <c r="D31" s="104" t="s">
        <v>995</v>
      </c>
    </row>
    <row r="32" ht="15" customHeight="1" spans="1:4">
      <c r="A32" s="104">
        <v>14</v>
      </c>
      <c r="B32" s="104" t="s">
        <v>996</v>
      </c>
      <c r="C32" s="104">
        <v>1317</v>
      </c>
      <c r="D32" s="104" t="s">
        <v>997</v>
      </c>
    </row>
    <row r="33" ht="15" customHeight="1" spans="1:4">
      <c r="A33" s="104">
        <v>15</v>
      </c>
      <c r="B33" s="104" t="s">
        <v>998</v>
      </c>
      <c r="C33" s="104">
        <v>1447</v>
      </c>
      <c r="D33" s="104" t="s">
        <v>999</v>
      </c>
    </row>
    <row r="34" ht="15" customHeight="1" spans="1:4">
      <c r="A34" s="104">
        <v>16</v>
      </c>
      <c r="B34" s="104" t="s">
        <v>1000</v>
      </c>
      <c r="C34" s="104">
        <v>1249</v>
      </c>
      <c r="D34" s="104" t="s">
        <v>1001</v>
      </c>
    </row>
    <row r="35" ht="15" customHeight="1" spans="1:4">
      <c r="A35" s="104">
        <v>17</v>
      </c>
      <c r="B35" s="104" t="s">
        <v>1002</v>
      </c>
      <c r="C35" s="104">
        <v>1255</v>
      </c>
      <c r="D35" s="104" t="s">
        <v>1003</v>
      </c>
    </row>
    <row r="36" ht="15" customHeight="1" spans="1:4">
      <c r="A36" s="104">
        <v>18</v>
      </c>
      <c r="B36" s="104" t="s">
        <v>1004</v>
      </c>
      <c r="C36" s="104">
        <v>1436</v>
      </c>
      <c r="D36" s="104" t="s">
        <v>1005</v>
      </c>
    </row>
    <row r="37" ht="15" customHeight="1" spans="1:4">
      <c r="A37" s="104">
        <v>19</v>
      </c>
      <c r="B37" s="104" t="s">
        <v>1006</v>
      </c>
      <c r="C37" s="104">
        <v>1627</v>
      </c>
      <c r="D37" s="104" t="s">
        <v>1007</v>
      </c>
    </row>
    <row r="38" ht="15" customHeight="1" spans="1:4">
      <c r="A38" s="104">
        <v>20</v>
      </c>
      <c r="B38" s="104" t="s">
        <v>1008</v>
      </c>
      <c r="C38" s="104">
        <v>1290</v>
      </c>
      <c r="D38" s="104" t="s">
        <v>1009</v>
      </c>
    </row>
    <row r="39" ht="15" customHeight="1" spans="1:4">
      <c r="A39" s="104">
        <v>21</v>
      </c>
      <c r="B39" s="104" t="s">
        <v>1010</v>
      </c>
      <c r="C39" s="104">
        <v>1298</v>
      </c>
      <c r="D39" s="104" t="s">
        <v>1011</v>
      </c>
    </row>
    <row r="40" ht="15" customHeight="1" spans="1:4">
      <c r="A40" s="104">
        <v>22</v>
      </c>
      <c r="B40" s="104" t="s">
        <v>1012</v>
      </c>
      <c r="C40" s="104">
        <v>1276</v>
      </c>
      <c r="D40" s="104" t="s">
        <v>1013</v>
      </c>
    </row>
    <row r="41" ht="15" customHeight="1" spans="1:4">
      <c r="A41" s="104"/>
      <c r="B41" s="104"/>
      <c r="C41" s="104"/>
      <c r="D41" s="104"/>
    </row>
    <row r="42" ht="15" customHeight="1" spans="1:4">
      <c r="A42" s="104" t="s">
        <v>251</v>
      </c>
      <c r="B42" s="104"/>
      <c r="C42" s="104">
        <f>SUM(C19:C40)</f>
        <v>29584</v>
      </c>
      <c r="D42" s="104"/>
    </row>
    <row r="43" ht="15" customHeight="1" spans="1:4">
      <c r="A43" s="104"/>
      <c r="B43" s="104"/>
      <c r="C43" s="104"/>
      <c r="D43" s="104"/>
    </row>
    <row r="44" ht="15" customHeight="1" spans="1:4">
      <c r="A44" s="104"/>
      <c r="B44" s="104"/>
      <c r="C44" s="104"/>
      <c r="D44" s="104"/>
    </row>
    <row r="45" spans="1:4">
      <c r="A45" s="104" t="s">
        <v>252</v>
      </c>
      <c r="B45" s="104"/>
      <c r="C45" s="104"/>
      <c r="D45" s="104"/>
    </row>
    <row r="46" spans="1:4">
      <c r="A46" t="s">
        <v>253</v>
      </c>
    </row>
    <row r="47" spans="1:4">
      <c r="A47" t="s">
        <v>254</v>
      </c>
    </row>
    <row r="48" spans="1:4">
      <c r="A48" t="s">
        <v>255</v>
      </c>
      <c r="C48" t="s">
        <v>256</v>
      </c>
    </row>
    <row r="49" spans="1:3">
      <c r="A49" t="s">
        <v>257</v>
      </c>
      <c r="C49" t="s">
        <v>258</v>
      </c>
    </row>
  </sheetData>
  <mergeCells count="8">
    <mergeCell ref="A3:B3"/>
    <mergeCell ref="A4:B4"/>
    <mergeCell ref="A5:C5"/>
    <mergeCell ref="A6:D6"/>
    <mergeCell ref="A9:B9"/>
    <mergeCell ref="A41:C41"/>
    <mergeCell ref="A1:D2"/>
    <mergeCell ref="C13:D14"/>
  </mergeCells>
  <pageMargins left="0.7" right="0.7" top="0.75" bottom="0.75" header="0.3" footer="0.3"/>
  <pageSetup paperSize="9" scale="96"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0"/>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BP!B29</f>
        <v>EX202609-0523</v>
      </c>
    </row>
    <row r="8" spans="1:4">
      <c r="A8" s="95" t="s">
        <v>191</v>
      </c>
      <c r="B8" s="57">
        <f>BP!M41</f>
        <v>46276</v>
      </c>
      <c r="C8" s="96"/>
      <c r="D8" s="95"/>
    </row>
    <row r="9" spans="1:4">
      <c r="A9" s="93" t="s">
        <v>192</v>
      </c>
      <c r="B9" s="93"/>
      <c r="C9" s="95"/>
      <c r="D9" s="97"/>
    </row>
    <row r="10" ht="17.6" spans="1:4">
      <c r="A10" s="91" t="s">
        <v>193</v>
      </c>
      <c r="B10" s="94" t="str">
        <f>IF(BP!C29="","",BP!C29)</f>
        <v>T502DMJ</v>
      </c>
      <c r="C10" s="41"/>
      <c r="D10" s="91"/>
    </row>
    <row r="11" spans="1:4">
      <c r="A11" s="91" t="s">
        <v>194</v>
      </c>
      <c r="B11" s="98" t="str">
        <f>IF(BP!D29="","",BP!D29)</f>
        <v>T440CFG</v>
      </c>
      <c r="C11" s="93" t="s">
        <v>195</v>
      </c>
      <c r="D11" s="94" t="str">
        <f>IF(BP!E29="","",BP!E29)</f>
        <v>T364ELY</v>
      </c>
    </row>
    <row r="12" ht="17.6" spans="1:4">
      <c r="A12" s="91" t="s">
        <v>196</v>
      </c>
      <c r="B12" s="98" t="str">
        <f>IF(BP!G29="","",BP!G29)</f>
        <v>SHARIFU JUMANNE</v>
      </c>
      <c r="C12" s="99" t="s">
        <v>197</v>
      </c>
      <c r="D12" s="91" t="str">
        <f>IF(BP!H29="","",BP!H29)</f>
        <v>TAE869967</v>
      </c>
    </row>
    <row r="13" spans="1:4">
      <c r="A13" s="91" t="s">
        <v>198</v>
      </c>
      <c r="B13" s="91"/>
      <c r="C13" s="100"/>
      <c r="D13" s="100"/>
    </row>
    <row r="14" spans="1:4">
      <c r="A14" s="91" t="s">
        <v>199</v>
      </c>
      <c r="B14" s="94" t="str">
        <f>IF(BP!I29="","",BP!I29)</f>
        <v>C.STEINWEG BRIDGE (PTY) LTD</v>
      </c>
      <c r="C14" s="100"/>
      <c r="D14" s="100"/>
    </row>
    <row r="15" spans="1:4">
      <c r="A15" s="95" t="s">
        <v>200</v>
      </c>
      <c r="B15" s="101" t="s">
        <v>201</v>
      </c>
      <c r="C15" s="102"/>
      <c r="D15" s="102"/>
    </row>
    <row r="16" spans="1:4">
      <c r="A16" s="95" t="s">
        <v>202</v>
      </c>
      <c r="B16" s="101" t="str">
        <f>IF(BP!J29="","",BP!J29)</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1014</v>
      </c>
      <c r="C19" s="104">
        <v>1567</v>
      </c>
      <c r="D19" s="104" t="s">
        <v>1015</v>
      </c>
    </row>
    <row r="20" ht="15" customHeight="1" spans="1:4">
      <c r="A20" s="104">
        <v>2</v>
      </c>
      <c r="B20" s="104" t="s">
        <v>1016</v>
      </c>
      <c r="C20" s="104">
        <v>1484</v>
      </c>
      <c r="D20" s="104" t="s">
        <v>1017</v>
      </c>
    </row>
    <row r="21" ht="15" customHeight="1" spans="1:4">
      <c r="A21" s="104">
        <v>3</v>
      </c>
      <c r="B21" s="104" t="s">
        <v>1018</v>
      </c>
      <c r="C21" s="104">
        <v>1325</v>
      </c>
      <c r="D21" s="104" t="s">
        <v>1019</v>
      </c>
    </row>
    <row r="22" ht="15" customHeight="1" spans="1:4">
      <c r="A22" s="104">
        <v>4</v>
      </c>
      <c r="B22" s="104" t="s">
        <v>1020</v>
      </c>
      <c r="C22" s="104">
        <v>1512</v>
      </c>
      <c r="D22" s="104" t="s">
        <v>1021</v>
      </c>
    </row>
    <row r="23" ht="15" customHeight="1" spans="1:4">
      <c r="A23" s="104">
        <v>5</v>
      </c>
      <c r="B23" s="104" t="s">
        <v>1022</v>
      </c>
      <c r="C23" s="104">
        <v>1589</v>
      </c>
      <c r="D23" s="104" t="s">
        <v>1023</v>
      </c>
    </row>
    <row r="24" ht="15" customHeight="1" spans="1:4">
      <c r="A24" s="104">
        <v>6</v>
      </c>
      <c r="B24" s="104" t="s">
        <v>1024</v>
      </c>
      <c r="C24" s="104">
        <v>1529</v>
      </c>
      <c r="D24" s="104" t="s">
        <v>1025</v>
      </c>
    </row>
    <row r="25" ht="15" customHeight="1" spans="1:4">
      <c r="A25" s="104">
        <v>7</v>
      </c>
      <c r="B25" s="104" t="s">
        <v>1026</v>
      </c>
      <c r="C25" s="104">
        <v>1531</v>
      </c>
      <c r="D25" s="104" t="s">
        <v>1027</v>
      </c>
    </row>
    <row r="26" ht="15" customHeight="1" spans="1:4">
      <c r="A26" s="104">
        <v>8</v>
      </c>
      <c r="B26" s="104" t="s">
        <v>1028</v>
      </c>
      <c r="C26" s="104">
        <v>1535</v>
      </c>
      <c r="D26" s="104" t="s">
        <v>1029</v>
      </c>
    </row>
    <row r="27" ht="15" customHeight="1" spans="1:4">
      <c r="A27" s="104">
        <v>9</v>
      </c>
      <c r="B27" s="104" t="s">
        <v>1030</v>
      </c>
      <c r="C27" s="104">
        <v>1412</v>
      </c>
      <c r="D27" s="104" t="s">
        <v>1031</v>
      </c>
    </row>
    <row r="28" ht="15" customHeight="1" spans="1:4">
      <c r="A28" s="104">
        <v>10</v>
      </c>
      <c r="B28" s="104" t="s">
        <v>1032</v>
      </c>
      <c r="C28" s="104">
        <v>1357</v>
      </c>
      <c r="D28" s="104" t="s">
        <v>1033</v>
      </c>
    </row>
    <row r="29" ht="15" customHeight="1" spans="1:4">
      <c r="A29" s="104">
        <v>11</v>
      </c>
      <c r="B29" s="104" t="s">
        <v>1034</v>
      </c>
      <c r="C29" s="104">
        <v>1460</v>
      </c>
      <c r="D29" s="104" t="s">
        <v>1035</v>
      </c>
    </row>
    <row r="30" ht="15" customHeight="1" spans="1:4">
      <c r="A30" s="104">
        <v>12</v>
      </c>
      <c r="B30" s="104" t="s">
        <v>1036</v>
      </c>
      <c r="C30" s="104">
        <v>1452</v>
      </c>
      <c r="D30" s="104" t="s">
        <v>1037</v>
      </c>
    </row>
    <row r="31" ht="15" customHeight="1" spans="1:4">
      <c r="A31" s="104">
        <v>13</v>
      </c>
      <c r="B31" s="104" t="s">
        <v>1038</v>
      </c>
      <c r="C31" s="104">
        <v>1433</v>
      </c>
      <c r="D31" s="104" t="s">
        <v>1039</v>
      </c>
    </row>
    <row r="32" ht="15" customHeight="1" spans="1:4">
      <c r="A32" s="104">
        <v>14</v>
      </c>
      <c r="B32" s="104" t="s">
        <v>1040</v>
      </c>
      <c r="C32" s="104">
        <v>1417</v>
      </c>
      <c r="D32" s="104" t="s">
        <v>1041</v>
      </c>
    </row>
    <row r="33" ht="15" customHeight="1" spans="1:4">
      <c r="A33" s="104">
        <v>15</v>
      </c>
      <c r="B33" s="104" t="s">
        <v>1042</v>
      </c>
      <c r="C33" s="104">
        <v>1504</v>
      </c>
      <c r="D33" s="104" t="s">
        <v>1043</v>
      </c>
    </row>
    <row r="34" ht="15" customHeight="1" spans="1:4">
      <c r="A34" s="104">
        <v>16</v>
      </c>
      <c r="B34" s="104" t="s">
        <v>1044</v>
      </c>
      <c r="C34" s="104">
        <v>1327</v>
      </c>
      <c r="D34" s="104" t="s">
        <v>1045</v>
      </c>
    </row>
    <row r="35" ht="15" customHeight="1" spans="1:4">
      <c r="A35" s="104">
        <v>17</v>
      </c>
      <c r="B35" s="104" t="s">
        <v>1046</v>
      </c>
      <c r="C35" s="104">
        <v>1461</v>
      </c>
      <c r="D35" s="104" t="s">
        <v>1047</v>
      </c>
    </row>
    <row r="36" ht="15" customHeight="1" spans="1:4">
      <c r="A36" s="104">
        <v>18</v>
      </c>
      <c r="B36" s="104" t="s">
        <v>1048</v>
      </c>
      <c r="C36" s="104">
        <v>1324</v>
      </c>
      <c r="D36" s="104" t="s">
        <v>1049</v>
      </c>
    </row>
    <row r="37" ht="15" customHeight="1" spans="1:4">
      <c r="A37" s="104">
        <v>19</v>
      </c>
      <c r="B37" s="104" t="s">
        <v>1050</v>
      </c>
      <c r="C37" s="104">
        <v>1432</v>
      </c>
      <c r="D37" s="104" t="s">
        <v>1051</v>
      </c>
    </row>
    <row r="38" ht="15" customHeight="1" spans="1:4">
      <c r="A38" s="104">
        <v>20</v>
      </c>
      <c r="B38" s="104" t="s">
        <v>1052</v>
      </c>
      <c r="C38" s="104">
        <v>1500</v>
      </c>
      <c r="D38" s="104" t="s">
        <v>1053</v>
      </c>
    </row>
    <row r="39" ht="15" customHeight="1" spans="1:4">
      <c r="A39" s="104">
        <v>21</v>
      </c>
      <c r="B39" s="104" t="s">
        <v>1054</v>
      </c>
      <c r="C39" s="104">
        <v>1505</v>
      </c>
      <c r="D39" s="104" t="s">
        <v>1055</v>
      </c>
    </row>
    <row r="40" ht="15" customHeight="1" spans="1:4">
      <c r="A40" s="104">
        <v>22</v>
      </c>
      <c r="B40" s="104" t="s">
        <v>1056</v>
      </c>
      <c r="C40" s="104">
        <v>1532</v>
      </c>
      <c r="D40" s="104" t="s">
        <v>1057</v>
      </c>
    </row>
    <row r="41" ht="15" customHeight="1" spans="1:4">
      <c r="A41" s="104">
        <v>23</v>
      </c>
      <c r="B41" s="104" t="s">
        <v>1058</v>
      </c>
      <c r="C41" s="104">
        <v>1473</v>
      </c>
      <c r="D41" s="104" t="s">
        <v>1059</v>
      </c>
    </row>
    <row r="42" ht="15" customHeight="1" spans="1:4">
      <c r="A42" s="104"/>
      <c r="B42" s="104"/>
      <c r="C42" s="104"/>
      <c r="D42" s="104"/>
    </row>
    <row r="43" ht="15" customHeight="1" spans="1:4">
      <c r="A43" s="104" t="s">
        <v>251</v>
      </c>
      <c r="B43" s="104"/>
      <c r="C43" s="104">
        <f>SUM(C19:C41)</f>
        <v>33661</v>
      </c>
      <c r="D43" s="104"/>
    </row>
    <row r="44" ht="15" customHeight="1" spans="1:4">
      <c r="A44" s="104"/>
      <c r="B44" s="104"/>
      <c r="C44" s="104"/>
      <c r="D44" s="105"/>
    </row>
    <row r="46" spans="1:4">
      <c r="A46" t="s">
        <v>252</v>
      </c>
    </row>
    <row r="47" spans="1:4">
      <c r="A47" t="s">
        <v>253</v>
      </c>
    </row>
    <row r="48" spans="1:4">
      <c r="A48" t="s">
        <v>254</v>
      </c>
    </row>
    <row r="49" spans="1:3">
      <c r="A49" t="s">
        <v>255</v>
      </c>
      <c r="C49" t="s">
        <v>256</v>
      </c>
    </row>
    <row r="50" spans="1:3">
      <c r="A50" t="s">
        <v>257</v>
      </c>
      <c r="C50" t="s">
        <v>258</v>
      </c>
    </row>
  </sheetData>
  <mergeCells count="8">
    <mergeCell ref="A3:B3"/>
    <mergeCell ref="A4:B4"/>
    <mergeCell ref="A5:C5"/>
    <mergeCell ref="A6:D6"/>
    <mergeCell ref="A9:B9"/>
    <mergeCell ref="A42:C42"/>
    <mergeCell ref="A1:D2"/>
    <mergeCell ref="C13:D14"/>
  </mergeCells>
  <pageMargins left="0.7" right="0.7" top="0.75" bottom="0.75" header="0.3" footer="0.3"/>
  <pageSetup paperSize="9" scale="94" orientation="portrait"/>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0"/>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BP!B30</f>
        <v>EX202609-0524</v>
      </c>
    </row>
    <row r="8" spans="1:4">
      <c r="A8" s="95" t="s">
        <v>191</v>
      </c>
      <c r="B8" s="57">
        <f>BP!M41</f>
        <v>46276</v>
      </c>
      <c r="C8" s="96"/>
      <c r="D8" s="95"/>
    </row>
    <row r="9" spans="1:4">
      <c r="A9" s="93" t="s">
        <v>192</v>
      </c>
      <c r="B9" s="93"/>
      <c r="C9" s="95"/>
      <c r="D9" s="97"/>
    </row>
    <row r="10" ht="17.6" spans="1:4">
      <c r="A10" s="91" t="s">
        <v>193</v>
      </c>
      <c r="B10" s="94" t="str">
        <f>IF(BP!C30="","",BP!C30)</f>
        <v>T540ECN</v>
      </c>
      <c r="C10" s="41"/>
      <c r="D10" s="91"/>
    </row>
    <row r="11" spans="1:4">
      <c r="A11" s="91" t="s">
        <v>194</v>
      </c>
      <c r="B11" s="98" t="str">
        <f>IF(BP!D30="","",BP!D30)</f>
        <v>T827ENG</v>
      </c>
      <c r="C11" s="93" t="s">
        <v>195</v>
      </c>
      <c r="D11" s="94" t="str">
        <f>IF(BP!E30="","",BP!E30)</f>
        <v>NA</v>
      </c>
    </row>
    <row r="12" ht="17.6" spans="1:4">
      <c r="A12" s="91" t="s">
        <v>196</v>
      </c>
      <c r="B12" s="98" t="str">
        <f>IF(BP!G30="","",BP!G30)</f>
        <v>MUSTAFER AMIR </v>
      </c>
      <c r="C12" s="99" t="s">
        <v>197</v>
      </c>
      <c r="D12" s="91" t="str">
        <f>IF(BP!H30="","",BP!H30)</f>
        <v>AB02106113</v>
      </c>
    </row>
    <row r="13" spans="1:4">
      <c r="A13" s="91" t="s">
        <v>198</v>
      </c>
      <c r="B13" s="91"/>
      <c r="C13" s="100"/>
      <c r="D13" s="100"/>
    </row>
    <row r="14" spans="1:4">
      <c r="A14" s="91" t="s">
        <v>199</v>
      </c>
      <c r="B14" s="94" t="str">
        <f>IF(BP!I30="","",BP!I30)</f>
        <v>IMPERIAL ROAD HAULAGE LTD</v>
      </c>
      <c r="C14" s="100"/>
      <c r="D14" s="100"/>
    </row>
    <row r="15" spans="1:4">
      <c r="A15" s="95" t="s">
        <v>200</v>
      </c>
      <c r="B15" s="101" t="s">
        <v>201</v>
      </c>
      <c r="C15" s="102"/>
      <c r="D15" s="102"/>
    </row>
    <row r="16" spans="1:4">
      <c r="A16" s="95" t="s">
        <v>202</v>
      </c>
      <c r="B16" s="101" t="str">
        <f>IF(BP!J30="","",BP!J30)</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1060</v>
      </c>
      <c r="C19" s="104">
        <v>1379</v>
      </c>
      <c r="D19" s="104" t="s">
        <v>1061</v>
      </c>
    </row>
    <row r="20" ht="15" customHeight="1" spans="1:4">
      <c r="A20" s="104">
        <v>2</v>
      </c>
      <c r="B20" s="104" t="s">
        <v>1062</v>
      </c>
      <c r="C20" s="104">
        <v>1449</v>
      </c>
      <c r="D20" s="104" t="s">
        <v>1063</v>
      </c>
    </row>
    <row r="21" ht="15" customHeight="1" spans="1:4">
      <c r="A21" s="104">
        <v>3</v>
      </c>
      <c r="B21" s="104" t="s">
        <v>1064</v>
      </c>
      <c r="C21" s="104">
        <v>1390</v>
      </c>
      <c r="D21" s="104" t="s">
        <v>1065</v>
      </c>
    </row>
    <row r="22" ht="15" customHeight="1" spans="1:4">
      <c r="A22" s="104">
        <v>4</v>
      </c>
      <c r="B22" s="104" t="s">
        <v>1066</v>
      </c>
      <c r="C22" s="104">
        <v>1468</v>
      </c>
      <c r="D22" s="104" t="s">
        <v>1067</v>
      </c>
    </row>
    <row r="23" ht="15" customHeight="1" spans="1:4">
      <c r="A23" s="104">
        <v>5</v>
      </c>
      <c r="B23" s="104" t="s">
        <v>1068</v>
      </c>
      <c r="C23" s="104">
        <v>1402</v>
      </c>
      <c r="D23" s="104" t="s">
        <v>1069</v>
      </c>
    </row>
    <row r="24" ht="15" customHeight="1" spans="1:4">
      <c r="A24" s="104">
        <v>6</v>
      </c>
      <c r="B24" s="104" t="s">
        <v>1070</v>
      </c>
      <c r="C24" s="104">
        <v>1399</v>
      </c>
      <c r="D24" s="104" t="s">
        <v>1071</v>
      </c>
    </row>
    <row r="25" ht="15" customHeight="1" spans="1:4">
      <c r="A25" s="104">
        <v>7</v>
      </c>
      <c r="B25" s="104" t="s">
        <v>1072</v>
      </c>
      <c r="C25" s="104">
        <v>1479</v>
      </c>
      <c r="D25" s="104" t="s">
        <v>1073</v>
      </c>
    </row>
    <row r="26" ht="15" customHeight="1" spans="1:4">
      <c r="A26" s="104">
        <v>8</v>
      </c>
      <c r="B26" s="104" t="s">
        <v>1074</v>
      </c>
      <c r="C26" s="104">
        <v>1391</v>
      </c>
      <c r="D26" s="104" t="s">
        <v>1075</v>
      </c>
    </row>
    <row r="27" ht="15" customHeight="1" spans="1:4">
      <c r="A27" s="104">
        <v>9</v>
      </c>
      <c r="B27" s="104" t="s">
        <v>1076</v>
      </c>
      <c r="C27" s="104">
        <v>1301</v>
      </c>
      <c r="D27" s="104" t="s">
        <v>1077</v>
      </c>
    </row>
    <row r="28" ht="15" customHeight="1" spans="1:4">
      <c r="A28" s="104">
        <v>10</v>
      </c>
      <c r="B28" s="104" t="s">
        <v>1078</v>
      </c>
      <c r="C28" s="104">
        <v>1366</v>
      </c>
      <c r="D28" s="104" t="s">
        <v>1079</v>
      </c>
    </row>
    <row r="29" ht="15" customHeight="1" spans="1:4">
      <c r="A29" s="104">
        <v>11</v>
      </c>
      <c r="B29" s="104" t="s">
        <v>1080</v>
      </c>
      <c r="C29" s="104">
        <v>1582</v>
      </c>
      <c r="D29" s="104" t="s">
        <v>1081</v>
      </c>
    </row>
    <row r="30" ht="15" customHeight="1" spans="1:4">
      <c r="A30" s="104">
        <v>12</v>
      </c>
      <c r="B30" s="104" t="s">
        <v>1082</v>
      </c>
      <c r="C30" s="104">
        <v>1463</v>
      </c>
      <c r="D30" s="104" t="s">
        <v>1083</v>
      </c>
    </row>
    <row r="31" ht="15" customHeight="1" spans="1:4">
      <c r="A31" s="104">
        <v>13</v>
      </c>
      <c r="B31" s="104" t="s">
        <v>1084</v>
      </c>
      <c r="C31" s="104">
        <v>1384</v>
      </c>
      <c r="D31" s="104" t="s">
        <v>1085</v>
      </c>
    </row>
    <row r="32" ht="15" customHeight="1" spans="1:4">
      <c r="A32" s="104">
        <v>14</v>
      </c>
      <c r="B32" s="104" t="s">
        <v>1086</v>
      </c>
      <c r="C32" s="104">
        <v>1456</v>
      </c>
      <c r="D32" s="104" t="s">
        <v>1087</v>
      </c>
    </row>
    <row r="33" ht="15" customHeight="1" spans="1:4">
      <c r="A33" s="104">
        <v>15</v>
      </c>
      <c r="B33" s="104" t="s">
        <v>1088</v>
      </c>
      <c r="C33" s="104">
        <v>1436</v>
      </c>
      <c r="D33" s="104" t="s">
        <v>1089</v>
      </c>
    </row>
    <row r="34" ht="15" customHeight="1" spans="1:4">
      <c r="A34" s="104">
        <v>16</v>
      </c>
      <c r="B34" s="104" t="s">
        <v>1090</v>
      </c>
      <c r="C34" s="104">
        <v>1434</v>
      </c>
      <c r="D34" s="104" t="s">
        <v>1091</v>
      </c>
    </row>
    <row r="35" ht="15" customHeight="1" spans="1:4">
      <c r="A35" s="104">
        <v>17</v>
      </c>
      <c r="B35" s="104" t="s">
        <v>1092</v>
      </c>
      <c r="C35" s="104">
        <v>1433</v>
      </c>
      <c r="D35" s="104" t="s">
        <v>1093</v>
      </c>
    </row>
    <row r="36" ht="15" customHeight="1" spans="1:4">
      <c r="A36" s="104">
        <v>18</v>
      </c>
      <c r="B36" s="104" t="s">
        <v>1094</v>
      </c>
      <c r="C36" s="104">
        <v>1385</v>
      </c>
      <c r="D36" s="104" t="s">
        <v>1095</v>
      </c>
    </row>
    <row r="37" ht="15" customHeight="1" spans="1:4">
      <c r="A37" s="104">
        <v>19</v>
      </c>
      <c r="B37" s="104" t="s">
        <v>1096</v>
      </c>
      <c r="C37" s="104">
        <v>1408</v>
      </c>
      <c r="D37" s="104" t="s">
        <v>1097</v>
      </c>
    </row>
    <row r="38" ht="15" customHeight="1" spans="1:4">
      <c r="A38" s="104">
        <v>20</v>
      </c>
      <c r="B38" s="104" t="s">
        <v>1098</v>
      </c>
      <c r="C38" s="104">
        <v>1416</v>
      </c>
      <c r="D38" s="104" t="s">
        <v>1099</v>
      </c>
    </row>
    <row r="39" ht="15" customHeight="1" spans="1:4">
      <c r="A39" s="104">
        <v>21</v>
      </c>
      <c r="B39" s="104" t="s">
        <v>1100</v>
      </c>
      <c r="C39" s="104">
        <v>1357</v>
      </c>
      <c r="D39" s="104" t="s">
        <v>1101</v>
      </c>
    </row>
    <row r="40" ht="15" customHeight="1" spans="1:4">
      <c r="A40" s="104">
        <v>22</v>
      </c>
      <c r="B40" s="104" t="s">
        <v>1102</v>
      </c>
      <c r="C40" s="104">
        <v>1380</v>
      </c>
      <c r="D40" s="104" t="s">
        <v>1103</v>
      </c>
    </row>
    <row r="41" ht="15" customHeight="1" spans="1:4">
      <c r="A41" s="104">
        <v>23</v>
      </c>
      <c r="B41" s="104" t="s">
        <v>1104</v>
      </c>
      <c r="C41" s="104">
        <v>1321</v>
      </c>
      <c r="D41" s="104" t="s">
        <v>1105</v>
      </c>
    </row>
    <row r="42" ht="15" customHeight="1" spans="1:4">
      <c r="A42" s="104"/>
      <c r="B42" s="104"/>
      <c r="C42" s="104"/>
      <c r="D42" s="104"/>
    </row>
    <row r="43" ht="15" customHeight="1" spans="1:4">
      <c r="A43" s="104" t="s">
        <v>251</v>
      </c>
      <c r="B43" s="104"/>
      <c r="C43" s="104">
        <f>SUM(C19:C41)</f>
        <v>32479</v>
      </c>
      <c r="D43" s="104"/>
    </row>
    <row r="44" ht="15" customHeight="1" spans="1:4">
      <c r="A44" s="104"/>
      <c r="B44" s="104"/>
      <c r="C44" s="104"/>
      <c r="D44" s="105"/>
    </row>
    <row r="46" spans="1:4">
      <c r="A46" t="s">
        <v>252</v>
      </c>
    </row>
    <row r="47" spans="1:4">
      <c r="A47" t="s">
        <v>253</v>
      </c>
    </row>
    <row r="48" spans="1:4">
      <c r="A48" t="s">
        <v>254</v>
      </c>
    </row>
    <row r="49" spans="1:3">
      <c r="A49" t="s">
        <v>255</v>
      </c>
      <c r="C49" t="s">
        <v>256</v>
      </c>
    </row>
    <row r="50" spans="1:3">
      <c r="A50" t="s">
        <v>257</v>
      </c>
      <c r="C50" t="s">
        <v>258</v>
      </c>
    </row>
  </sheetData>
  <mergeCells count="8">
    <mergeCell ref="A3:B3"/>
    <mergeCell ref="A4:B4"/>
    <mergeCell ref="A5:C5"/>
    <mergeCell ref="A6:D6"/>
    <mergeCell ref="A9:B9"/>
    <mergeCell ref="A42:C42"/>
    <mergeCell ref="A1:D2"/>
    <mergeCell ref="C13:D14"/>
  </mergeCells>
  <pageMargins left="0.7" right="0.7" top="0.75" bottom="0.75" header="0.3" footer="0.3"/>
  <pageSetup paperSize="9" scale="94" orientation="portrait"/>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BP!B31</f>
        <v>EX202609-0525</v>
      </c>
    </row>
    <row r="8" spans="1:4">
      <c r="A8" s="95" t="s">
        <v>191</v>
      </c>
      <c r="B8" s="57">
        <f>BP!M41</f>
        <v>46276</v>
      </c>
      <c r="C8" s="96"/>
      <c r="D8" s="95"/>
    </row>
    <row r="9" spans="1:4">
      <c r="A9" s="93" t="s">
        <v>192</v>
      </c>
      <c r="B9" s="93"/>
      <c r="C9" s="95"/>
      <c r="D9" s="97"/>
    </row>
    <row r="10" ht="17.6" spans="1:4">
      <c r="A10" s="91" t="s">
        <v>193</v>
      </c>
      <c r="B10" s="94" t="str">
        <f>IF(BP!C31="","",BP!C31)</f>
        <v>T699DRY</v>
      </c>
      <c r="C10" s="41"/>
      <c r="D10" s="91"/>
    </row>
    <row r="11" spans="1:4">
      <c r="A11" s="91" t="s">
        <v>194</v>
      </c>
      <c r="B11" s="98" t="str">
        <f>IF(BP!D31="","",BP!D31)</f>
        <v>T699DRY</v>
      </c>
      <c r="C11" s="93" t="s">
        <v>195</v>
      </c>
      <c r="D11" s="94" t="str">
        <f>IF(BP!E31="","",BP!E31)</f>
        <v>T207DSK</v>
      </c>
    </row>
    <row r="12" ht="17.6" spans="1:4">
      <c r="A12" s="91" t="s">
        <v>196</v>
      </c>
      <c r="B12" s="98" t="str">
        <f>IF(BP!G31="","",BP!G31)</f>
        <v>CHARLES LUCAS MTENGULE</v>
      </c>
      <c r="C12" s="99" t="s">
        <v>197</v>
      </c>
      <c r="D12" s="91" t="str">
        <f>IF(BP!H31="","",BP!H31)</f>
        <v>TAE690209</v>
      </c>
    </row>
    <row r="13" spans="1:4">
      <c r="A13" s="91" t="s">
        <v>198</v>
      </c>
      <c r="B13" s="91"/>
      <c r="C13" s="100"/>
      <c r="D13" s="100"/>
    </row>
    <row r="14" spans="1:4">
      <c r="A14" s="91" t="s">
        <v>199</v>
      </c>
      <c r="B14" s="94" t="str">
        <f>IF(BP!I31="","",BP!I31)</f>
        <v>OVERLAND INTERNATIONAL AG</v>
      </c>
      <c r="C14" s="100"/>
      <c r="D14" s="100"/>
    </row>
    <row r="15" spans="1:4">
      <c r="A15" s="95" t="s">
        <v>200</v>
      </c>
      <c r="B15" s="101" t="s">
        <v>201</v>
      </c>
      <c r="C15" s="102"/>
      <c r="D15" s="102"/>
    </row>
    <row r="16" spans="1:4">
      <c r="A16" s="95" t="s">
        <v>202</v>
      </c>
      <c r="B16" s="101" t="str">
        <f>IF(BP!J31="","",BP!J31)</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1106</v>
      </c>
      <c r="C19" s="104">
        <v>1406</v>
      </c>
      <c r="D19" s="104" t="s">
        <v>1107</v>
      </c>
    </row>
    <row r="20" ht="15" customHeight="1" spans="1:4">
      <c r="A20" s="104">
        <v>2</v>
      </c>
      <c r="B20" s="104" t="s">
        <v>1108</v>
      </c>
      <c r="C20" s="104">
        <v>1421</v>
      </c>
      <c r="D20" s="104" t="s">
        <v>1109</v>
      </c>
    </row>
    <row r="21" ht="15" customHeight="1" spans="1:4">
      <c r="A21" s="104">
        <v>3</v>
      </c>
      <c r="B21" s="104" t="s">
        <v>1110</v>
      </c>
      <c r="C21" s="104">
        <v>1392</v>
      </c>
      <c r="D21" s="104" t="s">
        <v>1111</v>
      </c>
    </row>
    <row r="22" ht="15" customHeight="1" spans="1:4">
      <c r="A22" s="104">
        <v>4</v>
      </c>
      <c r="B22" s="104" t="s">
        <v>1112</v>
      </c>
      <c r="C22" s="104">
        <v>1357</v>
      </c>
      <c r="D22" s="104" t="s">
        <v>1113</v>
      </c>
    </row>
    <row r="23" ht="15" customHeight="1" spans="1:4">
      <c r="A23" s="104">
        <v>5</v>
      </c>
      <c r="B23" s="104" t="s">
        <v>1114</v>
      </c>
      <c r="C23" s="104">
        <v>1375</v>
      </c>
      <c r="D23" s="104" t="s">
        <v>1115</v>
      </c>
    </row>
    <row r="24" ht="15" customHeight="1" spans="1:4">
      <c r="A24" s="104">
        <v>6</v>
      </c>
      <c r="B24" s="104" t="s">
        <v>1116</v>
      </c>
      <c r="C24" s="104">
        <v>1441</v>
      </c>
      <c r="D24" s="104" t="s">
        <v>1117</v>
      </c>
    </row>
    <row r="25" ht="15" customHeight="1" spans="1:4">
      <c r="A25" s="104">
        <v>7</v>
      </c>
      <c r="B25" s="104" t="s">
        <v>1118</v>
      </c>
      <c r="C25" s="104">
        <v>1607</v>
      </c>
      <c r="D25" s="104" t="s">
        <v>1119</v>
      </c>
    </row>
    <row r="26" ht="15" customHeight="1" spans="1:4">
      <c r="A26" s="104">
        <v>8</v>
      </c>
      <c r="B26" s="104" t="s">
        <v>1120</v>
      </c>
      <c r="C26" s="104">
        <v>1364</v>
      </c>
      <c r="D26" s="104" t="s">
        <v>1121</v>
      </c>
    </row>
    <row r="27" ht="15" customHeight="1" spans="1:4">
      <c r="A27" s="104">
        <v>9</v>
      </c>
      <c r="B27" s="104" t="s">
        <v>1122</v>
      </c>
      <c r="C27" s="104">
        <v>1453</v>
      </c>
      <c r="D27" s="104" t="s">
        <v>1123</v>
      </c>
    </row>
    <row r="28" ht="15" customHeight="1" spans="1:4">
      <c r="A28" s="104">
        <v>10</v>
      </c>
      <c r="B28" s="104" t="s">
        <v>1124</v>
      </c>
      <c r="C28" s="104">
        <v>1441</v>
      </c>
      <c r="D28" s="104" t="s">
        <v>1125</v>
      </c>
    </row>
    <row r="29" ht="15" customHeight="1" spans="1:4">
      <c r="A29" s="104">
        <v>11</v>
      </c>
      <c r="B29" s="104" t="s">
        <v>1126</v>
      </c>
      <c r="C29" s="104">
        <v>1412</v>
      </c>
      <c r="D29" s="104" t="s">
        <v>1127</v>
      </c>
    </row>
    <row r="30" ht="15" customHeight="1" spans="1:4">
      <c r="A30" s="104">
        <v>12</v>
      </c>
      <c r="B30" s="104" t="s">
        <v>1128</v>
      </c>
      <c r="C30" s="104">
        <v>1356</v>
      </c>
      <c r="D30" s="104" t="s">
        <v>1129</v>
      </c>
    </row>
    <row r="31" ht="15" customHeight="1" spans="1:4">
      <c r="A31" s="104">
        <v>13</v>
      </c>
      <c r="B31" s="104" t="s">
        <v>1130</v>
      </c>
      <c r="C31" s="104">
        <v>1325</v>
      </c>
      <c r="D31" s="104" t="s">
        <v>1131</v>
      </c>
    </row>
    <row r="32" ht="15" customHeight="1" spans="1:4">
      <c r="A32" s="104">
        <v>14</v>
      </c>
      <c r="B32" s="104" t="s">
        <v>1132</v>
      </c>
      <c r="C32" s="104">
        <v>1414</v>
      </c>
      <c r="D32" s="104" t="s">
        <v>1133</v>
      </c>
    </row>
    <row r="33" ht="15" customHeight="1" spans="1:4">
      <c r="A33" s="104">
        <v>15</v>
      </c>
      <c r="B33" s="104" t="s">
        <v>1134</v>
      </c>
      <c r="C33" s="104">
        <v>1460</v>
      </c>
      <c r="D33" s="104" t="s">
        <v>1135</v>
      </c>
    </row>
    <row r="34" ht="15" customHeight="1" spans="1:4">
      <c r="A34" s="104">
        <v>16</v>
      </c>
      <c r="B34" s="104" t="s">
        <v>1136</v>
      </c>
      <c r="C34" s="104">
        <v>1402</v>
      </c>
      <c r="D34" s="104" t="s">
        <v>1137</v>
      </c>
    </row>
    <row r="35" ht="15" customHeight="1" spans="1:4">
      <c r="A35" s="104">
        <v>17</v>
      </c>
      <c r="B35" s="104" t="s">
        <v>1138</v>
      </c>
      <c r="C35" s="104">
        <v>1364</v>
      </c>
      <c r="D35" s="104" t="s">
        <v>1139</v>
      </c>
    </row>
    <row r="36" ht="15" customHeight="1" spans="1:4">
      <c r="A36" s="104">
        <v>18</v>
      </c>
      <c r="B36" s="104" t="s">
        <v>1140</v>
      </c>
      <c r="C36" s="104">
        <v>1354</v>
      </c>
      <c r="D36" s="104" t="s">
        <v>1141</v>
      </c>
    </row>
    <row r="37" ht="15" customHeight="1" spans="1:4">
      <c r="A37" s="104">
        <v>19</v>
      </c>
      <c r="B37" s="104" t="s">
        <v>1142</v>
      </c>
      <c r="C37" s="104">
        <v>1368</v>
      </c>
      <c r="D37" s="104" t="s">
        <v>1143</v>
      </c>
    </row>
    <row r="38" ht="15" customHeight="1" spans="1:4">
      <c r="A38" s="104">
        <v>20</v>
      </c>
      <c r="B38" s="104" t="s">
        <v>1144</v>
      </c>
      <c r="C38" s="104">
        <v>1503</v>
      </c>
      <c r="D38" s="104" t="s">
        <v>1145</v>
      </c>
    </row>
    <row r="39" ht="15" customHeight="1" spans="1:4">
      <c r="A39" s="104">
        <v>21</v>
      </c>
      <c r="B39" s="104" t="s">
        <v>1146</v>
      </c>
      <c r="C39" s="104">
        <v>1343</v>
      </c>
      <c r="D39" s="104" t="s">
        <v>1147</v>
      </c>
    </row>
    <row r="40" ht="15" customHeight="1" spans="1:4">
      <c r="A40" s="104">
        <v>22</v>
      </c>
      <c r="B40" s="104" t="s">
        <v>1148</v>
      </c>
      <c r="C40" s="104">
        <v>1353</v>
      </c>
      <c r="D40" s="104" t="s">
        <v>1149</v>
      </c>
    </row>
    <row r="41" ht="15" customHeight="1" spans="1:4">
      <c r="A41" s="104">
        <v>23</v>
      </c>
      <c r="B41" s="104" t="s">
        <v>1150</v>
      </c>
      <c r="C41" s="104">
        <v>1392</v>
      </c>
      <c r="D41" s="104" t="s">
        <v>1151</v>
      </c>
    </row>
    <row r="42" ht="15" customHeight="1" spans="1:4">
      <c r="A42" s="104">
        <v>24</v>
      </c>
      <c r="B42" s="104" t="s">
        <v>1152</v>
      </c>
      <c r="C42" s="104">
        <v>1379</v>
      </c>
      <c r="D42" s="104" t="s">
        <v>1153</v>
      </c>
    </row>
    <row r="43" ht="15" customHeight="1" spans="1:4">
      <c r="A43" s="104"/>
      <c r="B43" s="104"/>
      <c r="C43" s="104"/>
      <c r="D43" s="104"/>
    </row>
    <row r="44" ht="15" customHeight="1" spans="1:4">
      <c r="A44" s="104" t="s">
        <v>251</v>
      </c>
      <c r="B44" s="104"/>
      <c r="C44" s="104">
        <f>SUM(C19:C42)</f>
        <v>33682</v>
      </c>
      <c r="D44" s="105"/>
    </row>
    <row r="47" spans="1:4">
      <c r="A47" t="s">
        <v>252</v>
      </c>
    </row>
    <row r="48" spans="1:4">
      <c r="A48" t="s">
        <v>253</v>
      </c>
    </row>
    <row r="49" spans="1:3">
      <c r="A49" t="s">
        <v>254</v>
      </c>
    </row>
    <row r="50" spans="1:3">
      <c r="A50" t="s">
        <v>255</v>
      </c>
      <c r="C50" t="s">
        <v>256</v>
      </c>
    </row>
    <row r="51" spans="1:3">
      <c r="A51" t="s">
        <v>257</v>
      </c>
      <c r="C51" t="s">
        <v>258</v>
      </c>
    </row>
  </sheetData>
  <mergeCells count="8">
    <mergeCell ref="A3:B3"/>
    <mergeCell ref="A4:B4"/>
    <mergeCell ref="A5:C5"/>
    <mergeCell ref="A6:D6"/>
    <mergeCell ref="A9:B9"/>
    <mergeCell ref="A43:C43"/>
    <mergeCell ref="A1:D2"/>
    <mergeCell ref="C13:D14"/>
  </mergeCells>
  <pageMargins left="0.7" right="0.7" top="0.75" bottom="0.75" header="0.3" footer="0.3"/>
  <pageSetup paperSize="9" scale="90" orientation="portrait"/>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49"/>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BP!B32</f>
        <v>EX202609-0526</v>
      </c>
    </row>
    <row r="8" spans="1:4">
      <c r="A8" s="95" t="s">
        <v>191</v>
      </c>
      <c r="B8" s="57">
        <f>BP!M41</f>
        <v>46276</v>
      </c>
      <c r="C8" s="96"/>
      <c r="D8" s="95"/>
    </row>
    <row r="9" spans="1:4">
      <c r="A9" s="93" t="s">
        <v>192</v>
      </c>
      <c r="B9" s="93"/>
      <c r="C9" s="95"/>
      <c r="D9" s="97"/>
    </row>
    <row r="10" ht="17.6" spans="1:4">
      <c r="A10" s="91" t="s">
        <v>193</v>
      </c>
      <c r="B10" s="94" t="str">
        <f>IF(BP!C32="","",BP!C32)</f>
        <v>T341EPL</v>
      </c>
      <c r="C10" s="41"/>
      <c r="D10" s="91"/>
    </row>
    <row r="11" spans="1:4">
      <c r="A11" s="91" t="s">
        <v>194</v>
      </c>
      <c r="B11" s="98" t="str">
        <f>IF(BP!D32="","",BP!D32)</f>
        <v>T731EPJ</v>
      </c>
      <c r="C11" s="93" t="s">
        <v>195</v>
      </c>
      <c r="D11" s="94" t="str">
        <f>IF(BP!E32="","",BP!E32)</f>
        <v>NA</v>
      </c>
    </row>
    <row r="12" ht="17.6" spans="1:4">
      <c r="A12" s="91" t="s">
        <v>196</v>
      </c>
      <c r="B12" s="98" t="str">
        <f>IF(BP!G32="","",BP!G32)</f>
        <v>SALEHE HEMEDI </v>
      </c>
      <c r="C12" s="99" t="s">
        <v>197</v>
      </c>
      <c r="D12" s="91" t="str">
        <f>IF(BP!H32="","",BP!H32)</f>
        <v>TAE791546</v>
      </c>
    </row>
    <row r="13" spans="1:4">
      <c r="A13" s="91" t="s">
        <v>198</v>
      </c>
      <c r="B13" s="91"/>
      <c r="C13" s="100"/>
      <c r="D13" s="100"/>
    </row>
    <row r="14" spans="1:4">
      <c r="A14" s="91" t="s">
        <v>199</v>
      </c>
      <c r="B14" s="94" t="str">
        <f>IF(BP!I32="","",BP!I32)</f>
        <v>VAN MO COMPANY LIMITED</v>
      </c>
      <c r="C14" s="100"/>
      <c r="D14" s="100"/>
    </row>
    <row r="15" spans="1:4">
      <c r="A15" s="95" t="s">
        <v>200</v>
      </c>
      <c r="B15" s="101" t="s">
        <v>201</v>
      </c>
      <c r="C15" s="102"/>
      <c r="D15" s="102"/>
    </row>
    <row r="16" spans="1:4">
      <c r="A16" s="95" t="s">
        <v>202</v>
      </c>
      <c r="B16" s="101" t="str">
        <f>IF(BP!J32="","",BP!J32)</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1154</v>
      </c>
      <c r="C19" s="104">
        <v>1387</v>
      </c>
      <c r="D19" s="104" t="s">
        <v>1155</v>
      </c>
    </row>
    <row r="20" ht="15" customHeight="1" spans="1:4">
      <c r="A20" s="104">
        <v>2</v>
      </c>
      <c r="B20" s="104" t="s">
        <v>1156</v>
      </c>
      <c r="C20" s="104">
        <v>1345</v>
      </c>
      <c r="D20" s="104" t="s">
        <v>1157</v>
      </c>
    </row>
    <row r="21" ht="15" customHeight="1" spans="1:4">
      <c r="A21" s="104">
        <v>3</v>
      </c>
      <c r="B21" s="104" t="s">
        <v>1158</v>
      </c>
      <c r="C21" s="104">
        <v>1313</v>
      </c>
      <c r="D21" s="104" t="s">
        <v>1159</v>
      </c>
    </row>
    <row r="22" ht="15" customHeight="1" spans="1:4">
      <c r="A22" s="104">
        <v>4</v>
      </c>
      <c r="B22" s="104" t="s">
        <v>1160</v>
      </c>
      <c r="C22" s="104">
        <v>1368</v>
      </c>
      <c r="D22" s="104" t="s">
        <v>1161</v>
      </c>
    </row>
    <row r="23" ht="15" customHeight="1" spans="1:4">
      <c r="A23" s="104">
        <v>5</v>
      </c>
      <c r="B23" s="104" t="s">
        <v>1162</v>
      </c>
      <c r="C23" s="104">
        <v>1391</v>
      </c>
      <c r="D23" s="104" t="s">
        <v>1163</v>
      </c>
    </row>
    <row r="24" ht="15" customHeight="1" spans="1:4">
      <c r="A24" s="104">
        <v>6</v>
      </c>
      <c r="B24" s="104" t="s">
        <v>1164</v>
      </c>
      <c r="C24" s="104">
        <v>1342</v>
      </c>
      <c r="D24" s="104" t="s">
        <v>1165</v>
      </c>
    </row>
    <row r="25" ht="15" customHeight="1" spans="1:4">
      <c r="A25" s="104">
        <v>7</v>
      </c>
      <c r="B25" s="104" t="s">
        <v>1166</v>
      </c>
      <c r="C25" s="104">
        <v>1351</v>
      </c>
      <c r="D25" s="104" t="s">
        <v>1167</v>
      </c>
    </row>
    <row r="26" ht="15" customHeight="1" spans="1:4">
      <c r="A26" s="104">
        <v>8</v>
      </c>
      <c r="B26" s="104" t="s">
        <v>1168</v>
      </c>
      <c r="C26" s="104">
        <v>1349</v>
      </c>
      <c r="D26" s="104" t="s">
        <v>1169</v>
      </c>
    </row>
    <row r="27" ht="15" customHeight="1" spans="1:4">
      <c r="A27" s="104">
        <v>9</v>
      </c>
      <c r="B27" s="104" t="s">
        <v>1170</v>
      </c>
      <c r="C27" s="104">
        <v>1402</v>
      </c>
      <c r="D27" s="104" t="s">
        <v>1171</v>
      </c>
    </row>
    <row r="28" ht="15" customHeight="1" spans="1:4">
      <c r="A28" s="104">
        <v>10</v>
      </c>
      <c r="B28" s="104" t="s">
        <v>1172</v>
      </c>
      <c r="C28" s="104">
        <v>1337</v>
      </c>
      <c r="D28" s="104" t="s">
        <v>1173</v>
      </c>
    </row>
    <row r="29" ht="15" customHeight="1" spans="1:4">
      <c r="A29" s="104">
        <v>11</v>
      </c>
      <c r="B29" s="104" t="s">
        <v>1174</v>
      </c>
      <c r="C29" s="104">
        <v>1487</v>
      </c>
      <c r="D29" s="104" t="s">
        <v>1175</v>
      </c>
    </row>
    <row r="30" ht="15" customHeight="1" spans="1:4">
      <c r="A30" s="104">
        <v>12</v>
      </c>
      <c r="B30" s="104" t="s">
        <v>1176</v>
      </c>
      <c r="C30" s="104">
        <v>1541</v>
      </c>
      <c r="D30" s="104" t="s">
        <v>1177</v>
      </c>
    </row>
    <row r="31" ht="15" customHeight="1" spans="1:4">
      <c r="A31" s="104">
        <v>13</v>
      </c>
      <c r="B31" s="104" t="s">
        <v>1178</v>
      </c>
      <c r="C31" s="104">
        <v>1325</v>
      </c>
      <c r="D31" s="104" t="s">
        <v>1179</v>
      </c>
    </row>
    <row r="32" ht="15" customHeight="1" spans="1:4">
      <c r="A32" s="104">
        <v>14</v>
      </c>
      <c r="B32" s="104" t="s">
        <v>1180</v>
      </c>
      <c r="C32" s="104">
        <v>1385</v>
      </c>
      <c r="D32" s="104" t="s">
        <v>1181</v>
      </c>
    </row>
    <row r="33" ht="15" customHeight="1" spans="1:4">
      <c r="A33" s="104">
        <v>15</v>
      </c>
      <c r="B33" s="104" t="s">
        <v>1182</v>
      </c>
      <c r="C33" s="104">
        <v>1289</v>
      </c>
      <c r="D33" s="104" t="s">
        <v>1183</v>
      </c>
    </row>
    <row r="34" ht="15" customHeight="1" spans="1:4">
      <c r="A34" s="104">
        <v>16</v>
      </c>
      <c r="B34" s="104" t="s">
        <v>1184</v>
      </c>
      <c r="C34" s="104">
        <v>1296</v>
      </c>
      <c r="D34" s="104" t="s">
        <v>1185</v>
      </c>
    </row>
    <row r="35" ht="15" customHeight="1" spans="1:4">
      <c r="A35" s="104">
        <v>17</v>
      </c>
      <c r="B35" s="104" t="s">
        <v>1186</v>
      </c>
      <c r="C35" s="104">
        <v>1282</v>
      </c>
      <c r="D35" s="104" t="s">
        <v>1187</v>
      </c>
    </row>
    <row r="36" ht="15" customHeight="1" spans="1:4">
      <c r="A36" s="104">
        <v>18</v>
      </c>
      <c r="B36" s="104" t="s">
        <v>1188</v>
      </c>
      <c r="C36" s="104">
        <v>1509</v>
      </c>
      <c r="D36" s="104" t="s">
        <v>1189</v>
      </c>
    </row>
    <row r="37" ht="15" customHeight="1" spans="1:4">
      <c r="A37" s="104">
        <v>19</v>
      </c>
      <c r="B37" s="104" t="s">
        <v>1190</v>
      </c>
      <c r="C37" s="104">
        <v>1518</v>
      </c>
      <c r="D37" s="104" t="s">
        <v>1191</v>
      </c>
    </row>
    <row r="38" ht="15" customHeight="1" spans="1:4">
      <c r="A38" s="104">
        <v>20</v>
      </c>
      <c r="B38" s="104" t="s">
        <v>1192</v>
      </c>
      <c r="C38" s="104">
        <v>1429</v>
      </c>
      <c r="D38" s="104" t="s">
        <v>1193</v>
      </c>
    </row>
    <row r="39" ht="15" customHeight="1" spans="1:4">
      <c r="A39" s="104">
        <v>21</v>
      </c>
      <c r="B39" s="104" t="s">
        <v>1194</v>
      </c>
      <c r="C39" s="104">
        <v>1605</v>
      </c>
      <c r="D39" s="104" t="s">
        <v>1195</v>
      </c>
    </row>
    <row r="40" ht="15" customHeight="1" spans="1:4">
      <c r="A40" s="104">
        <v>22</v>
      </c>
      <c r="B40" s="104" t="s">
        <v>1196</v>
      </c>
      <c r="C40" s="104">
        <v>1333</v>
      </c>
      <c r="D40" s="104" t="s">
        <v>1197</v>
      </c>
    </row>
    <row r="41" ht="15" customHeight="1" spans="1:4">
      <c r="A41" s="104"/>
      <c r="B41" s="104"/>
      <c r="C41" s="104"/>
      <c r="D41" s="104"/>
    </row>
    <row r="42" ht="15" customHeight="1" spans="1:4">
      <c r="A42" s="104" t="s">
        <v>251</v>
      </c>
      <c r="B42" s="104"/>
      <c r="C42" s="104">
        <f>SUM(C19:C40)</f>
        <v>30584</v>
      </c>
      <c r="D42" s="104"/>
    </row>
    <row r="43" ht="15" customHeight="1" spans="1:4">
      <c r="A43" s="104"/>
      <c r="B43" s="104"/>
      <c r="C43" s="104"/>
      <c r="D43" s="104"/>
    </row>
    <row r="44" ht="15" customHeight="1" spans="1:4">
      <c r="A44" s="104"/>
      <c r="B44" s="104"/>
      <c r="C44" s="104"/>
      <c r="D44" s="105"/>
    </row>
    <row r="45" spans="1:4">
      <c r="A45" t="s">
        <v>252</v>
      </c>
    </row>
    <row r="46" spans="1:4">
      <c r="A46" t="s">
        <v>253</v>
      </c>
    </row>
    <row r="47" spans="1:4">
      <c r="A47" t="s">
        <v>254</v>
      </c>
    </row>
    <row r="48" spans="1:4">
      <c r="A48" t="s">
        <v>255</v>
      </c>
      <c r="C48" t="s">
        <v>256</v>
      </c>
    </row>
    <row r="49" spans="1:3">
      <c r="A49" t="s">
        <v>257</v>
      </c>
      <c r="C49" t="s">
        <v>258</v>
      </c>
    </row>
  </sheetData>
  <mergeCells count="8">
    <mergeCell ref="A3:B3"/>
    <mergeCell ref="A4:B4"/>
    <mergeCell ref="A5:C5"/>
    <mergeCell ref="A6:D6"/>
    <mergeCell ref="A9:B9"/>
    <mergeCell ref="A41:C41"/>
    <mergeCell ref="A1:D2"/>
    <mergeCell ref="C13:D14"/>
  </mergeCells>
  <pageMargins left="0.7" right="0.7" top="0.75" bottom="0.75" header="0.3" footer="0.3"/>
  <pageSetup paperSize="9" scale="96" orientation="portrait"/>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2"/>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BP!B33</f>
        <v>EX202609-0527</v>
      </c>
    </row>
    <row r="8" spans="1:4">
      <c r="A8" s="95" t="s">
        <v>191</v>
      </c>
      <c r="B8" s="57">
        <f>BP!M41</f>
        <v>46276</v>
      </c>
      <c r="C8" s="96"/>
      <c r="D8" s="95"/>
    </row>
    <row r="9" spans="1:4">
      <c r="A9" s="93" t="s">
        <v>192</v>
      </c>
      <c r="B9" s="93"/>
      <c r="C9" s="95"/>
      <c r="D9" s="97"/>
    </row>
    <row r="10" ht="17.6" spans="1:4">
      <c r="A10" s="91" t="s">
        <v>193</v>
      </c>
      <c r="B10" s="94" t="str">
        <f>IF(BP!C33="","",BP!C33)</f>
        <v>T626ECB</v>
      </c>
      <c r="C10" s="41"/>
      <c r="D10" s="91"/>
    </row>
    <row r="11" spans="1:4">
      <c r="A11" s="91" t="s">
        <v>194</v>
      </c>
      <c r="B11" s="98" t="str">
        <f>IF(BP!D33="","",BP!D33)</f>
        <v>T557BBE</v>
      </c>
      <c r="C11" s="93" t="s">
        <v>195</v>
      </c>
      <c r="D11" s="94" t="str">
        <f>IF(BP!E33="","",BP!E33)</f>
        <v>T236DTC</v>
      </c>
    </row>
    <row r="12" ht="17.6" spans="1:4">
      <c r="A12" s="91" t="s">
        <v>196</v>
      </c>
      <c r="B12" s="98" t="str">
        <f>IF(BP!G33="","",BP!G33)</f>
        <v>SALUM MUMBA</v>
      </c>
      <c r="C12" s="99" t="s">
        <v>197</v>
      </c>
      <c r="D12" s="91" t="str">
        <f>IF(BP!H33="","",BP!H33)</f>
        <v>TAE527007</v>
      </c>
    </row>
    <row r="13" spans="1:4">
      <c r="A13" s="91" t="s">
        <v>198</v>
      </c>
      <c r="B13" s="91"/>
      <c r="C13" s="100"/>
      <c r="D13" s="100"/>
    </row>
    <row r="14" spans="1:4">
      <c r="A14" s="91" t="s">
        <v>199</v>
      </c>
      <c r="B14" s="94" t="str">
        <f>IF(BP!I33="","",BP!I33)</f>
        <v>C.STEINWEG BRIDGE (PTY) LTD</v>
      </c>
      <c r="C14" s="100"/>
      <c r="D14" s="100"/>
    </row>
    <row r="15" spans="1:4">
      <c r="A15" s="95" t="s">
        <v>200</v>
      </c>
      <c r="B15" s="101" t="s">
        <v>201</v>
      </c>
      <c r="C15" s="102"/>
      <c r="D15" s="102"/>
    </row>
    <row r="16" spans="1:4">
      <c r="A16" s="95" t="s">
        <v>202</v>
      </c>
      <c r="B16" s="101" t="str">
        <f>IF(BP!J33="","",BP!J33)</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1198</v>
      </c>
      <c r="C19" s="104">
        <v>1513</v>
      </c>
      <c r="D19" s="104" t="s">
        <v>1199</v>
      </c>
    </row>
    <row r="20" ht="15" customHeight="1" spans="1:4">
      <c r="A20" s="104">
        <v>2</v>
      </c>
      <c r="B20" s="104" t="s">
        <v>1200</v>
      </c>
      <c r="C20" s="104">
        <v>1597</v>
      </c>
      <c r="D20" s="104" t="s">
        <v>1201</v>
      </c>
    </row>
    <row r="21" ht="15" customHeight="1" spans="1:4">
      <c r="A21" s="104">
        <v>3</v>
      </c>
      <c r="B21" s="104" t="s">
        <v>1202</v>
      </c>
      <c r="C21" s="104">
        <v>1366</v>
      </c>
      <c r="D21" s="104" t="s">
        <v>1203</v>
      </c>
    </row>
    <row r="22" ht="15" customHeight="1" spans="1:4">
      <c r="A22" s="104">
        <v>4</v>
      </c>
      <c r="B22" s="104" t="s">
        <v>1204</v>
      </c>
      <c r="C22" s="104">
        <v>1288</v>
      </c>
      <c r="D22" s="104" t="s">
        <v>1205</v>
      </c>
    </row>
    <row r="23" ht="15" customHeight="1" spans="1:4">
      <c r="A23" s="104">
        <v>5</v>
      </c>
      <c r="B23" s="104" t="s">
        <v>1206</v>
      </c>
      <c r="C23" s="104">
        <v>1366</v>
      </c>
      <c r="D23" s="104" t="s">
        <v>1207</v>
      </c>
    </row>
    <row r="24" ht="15" customHeight="1" spans="1:4">
      <c r="A24" s="104">
        <v>6</v>
      </c>
      <c r="B24" s="104" t="s">
        <v>1208</v>
      </c>
      <c r="C24" s="104">
        <v>1342</v>
      </c>
      <c r="D24" s="104" t="s">
        <v>1209</v>
      </c>
    </row>
    <row r="25" ht="15" customHeight="1" spans="1:4">
      <c r="A25" s="104">
        <v>7</v>
      </c>
      <c r="B25" s="104" t="s">
        <v>1210</v>
      </c>
      <c r="C25" s="104">
        <v>1378</v>
      </c>
      <c r="D25" s="104" t="s">
        <v>1211</v>
      </c>
    </row>
    <row r="26" ht="15" customHeight="1" spans="1:4">
      <c r="A26" s="104">
        <v>8</v>
      </c>
      <c r="B26" s="104" t="s">
        <v>1212</v>
      </c>
      <c r="C26" s="104">
        <v>1402</v>
      </c>
      <c r="D26" s="104" t="s">
        <v>1213</v>
      </c>
    </row>
    <row r="27" ht="15" customHeight="1" spans="1:4">
      <c r="A27" s="104">
        <v>9</v>
      </c>
      <c r="B27" s="104" t="s">
        <v>1214</v>
      </c>
      <c r="C27" s="104">
        <v>1254</v>
      </c>
      <c r="D27" s="104" t="s">
        <v>1215</v>
      </c>
    </row>
    <row r="28" ht="15" customHeight="1" spans="1:4">
      <c r="A28" s="104">
        <v>10</v>
      </c>
      <c r="B28" s="104" t="s">
        <v>1216</v>
      </c>
      <c r="C28" s="104">
        <v>1232</v>
      </c>
      <c r="D28" s="104" t="s">
        <v>1217</v>
      </c>
    </row>
    <row r="29" ht="15" customHeight="1" spans="1:4">
      <c r="A29" s="104">
        <v>11</v>
      </c>
      <c r="B29" s="104" t="s">
        <v>1218</v>
      </c>
      <c r="C29" s="104">
        <v>1326</v>
      </c>
      <c r="D29" s="104" t="s">
        <v>1219</v>
      </c>
    </row>
    <row r="30" ht="15" customHeight="1" spans="1:4">
      <c r="A30" s="104">
        <v>12</v>
      </c>
      <c r="B30" s="104" t="s">
        <v>1220</v>
      </c>
      <c r="C30" s="104">
        <v>1220</v>
      </c>
      <c r="D30" s="104" t="s">
        <v>1221</v>
      </c>
    </row>
    <row r="31" ht="15" customHeight="1" spans="1:4">
      <c r="A31" s="104">
        <v>13</v>
      </c>
      <c r="B31" s="104" t="s">
        <v>1222</v>
      </c>
      <c r="C31" s="104">
        <v>1360</v>
      </c>
      <c r="D31" s="104" t="s">
        <v>1223</v>
      </c>
    </row>
    <row r="32" ht="15" customHeight="1" spans="1:4">
      <c r="A32" s="104">
        <v>14</v>
      </c>
      <c r="B32" s="104" t="s">
        <v>1224</v>
      </c>
      <c r="C32" s="104">
        <v>1515</v>
      </c>
      <c r="D32" s="104" t="s">
        <v>1225</v>
      </c>
    </row>
    <row r="33" ht="15" customHeight="1" spans="1:4">
      <c r="A33" s="104">
        <v>15</v>
      </c>
      <c r="B33" s="104" t="s">
        <v>1226</v>
      </c>
      <c r="C33" s="104">
        <v>1364</v>
      </c>
      <c r="D33" s="104" t="s">
        <v>1227</v>
      </c>
    </row>
    <row r="34" ht="15" customHeight="1" spans="1:4">
      <c r="A34" s="104">
        <v>16</v>
      </c>
      <c r="B34" s="104" t="s">
        <v>1228</v>
      </c>
      <c r="C34" s="104">
        <v>1267</v>
      </c>
      <c r="D34" s="104" t="s">
        <v>1229</v>
      </c>
    </row>
    <row r="35" ht="15" customHeight="1" spans="1:4">
      <c r="A35" s="104">
        <v>17</v>
      </c>
      <c r="B35" s="104" t="s">
        <v>1230</v>
      </c>
      <c r="C35" s="104">
        <v>1338</v>
      </c>
      <c r="D35" s="104" t="s">
        <v>1231</v>
      </c>
    </row>
    <row r="36" ht="15" customHeight="1" spans="1:4">
      <c r="A36" s="104">
        <v>18</v>
      </c>
      <c r="B36" s="104" t="s">
        <v>1232</v>
      </c>
      <c r="C36" s="104">
        <v>1305</v>
      </c>
      <c r="D36" s="104" t="s">
        <v>1233</v>
      </c>
    </row>
    <row r="37" ht="15" customHeight="1" spans="1:4">
      <c r="A37" s="104">
        <v>19</v>
      </c>
      <c r="B37" s="104" t="s">
        <v>1234</v>
      </c>
      <c r="C37" s="104">
        <v>1325</v>
      </c>
      <c r="D37" s="104" t="s">
        <v>1235</v>
      </c>
    </row>
    <row r="38" ht="15" customHeight="1" spans="1:4">
      <c r="A38" s="104">
        <v>20</v>
      </c>
      <c r="B38" s="104" t="s">
        <v>1236</v>
      </c>
      <c r="C38" s="104">
        <v>1347</v>
      </c>
      <c r="D38" s="104" t="s">
        <v>1237</v>
      </c>
    </row>
    <row r="39" ht="15" customHeight="1" spans="1:4">
      <c r="A39" s="104">
        <v>21</v>
      </c>
      <c r="B39" s="104" t="s">
        <v>1238</v>
      </c>
      <c r="C39" s="104">
        <v>1423</v>
      </c>
      <c r="D39" s="104" t="s">
        <v>1239</v>
      </c>
    </row>
    <row r="40" ht="15" customHeight="1" spans="1:4">
      <c r="A40" s="104">
        <v>22</v>
      </c>
      <c r="B40" s="104" t="s">
        <v>1240</v>
      </c>
      <c r="C40" s="104">
        <v>1348</v>
      </c>
      <c r="D40" s="104" t="s">
        <v>1241</v>
      </c>
    </row>
    <row r="41" ht="15" customHeight="1" spans="1:4">
      <c r="A41" s="104">
        <v>23</v>
      </c>
      <c r="B41" s="104" t="s">
        <v>1242</v>
      </c>
      <c r="C41" s="104">
        <v>1382</v>
      </c>
      <c r="D41" s="104" t="s">
        <v>1243</v>
      </c>
    </row>
    <row r="42" ht="15" customHeight="1" spans="1:4">
      <c r="A42" s="104">
        <v>24</v>
      </c>
      <c r="B42" s="104" t="s">
        <v>1244</v>
      </c>
      <c r="C42" s="104">
        <v>1251</v>
      </c>
      <c r="D42" s="104" t="s">
        <v>1245</v>
      </c>
    </row>
    <row r="43" ht="15" customHeight="1" spans="1:4">
      <c r="A43" s="104">
        <v>25</v>
      </c>
      <c r="B43" s="104" t="s">
        <v>1246</v>
      </c>
      <c r="C43" s="104">
        <v>1243</v>
      </c>
      <c r="D43" s="104" t="s">
        <v>1247</v>
      </c>
    </row>
    <row r="44" ht="15" customHeight="1" spans="1:4">
      <c r="A44" s="104"/>
      <c r="B44" s="104"/>
      <c r="C44" s="104"/>
      <c r="D44" s="105"/>
    </row>
    <row r="45" spans="1:4">
      <c r="A45" t="s">
        <v>251</v>
      </c>
      <c r="C45">
        <f>SUM(C19:C43)</f>
        <v>33752</v>
      </c>
    </row>
    <row r="48" spans="1:4">
      <c r="A48" t="s">
        <v>252</v>
      </c>
    </row>
    <row r="49" spans="1:3">
      <c r="A49" t="s">
        <v>253</v>
      </c>
    </row>
    <row r="50" spans="1:3">
      <c r="A50" t="s">
        <v>254</v>
      </c>
    </row>
    <row r="51" spans="1:3">
      <c r="A51" t="s">
        <v>255</v>
      </c>
      <c r="C51" t="s">
        <v>256</v>
      </c>
    </row>
    <row r="52" spans="1:3">
      <c r="A52" t="s">
        <v>257</v>
      </c>
      <c r="C52" t="s">
        <v>258</v>
      </c>
    </row>
  </sheetData>
  <mergeCells count="8">
    <mergeCell ref="A3:B3"/>
    <mergeCell ref="A4:B4"/>
    <mergeCell ref="A5:C5"/>
    <mergeCell ref="A6:D6"/>
    <mergeCell ref="A9:B9"/>
    <mergeCell ref="A44:C44"/>
    <mergeCell ref="A1:D2"/>
    <mergeCell ref="C13:D14"/>
  </mergeCells>
  <pageMargins left="0.7" right="0.7" top="0.75" bottom="0.75" header="0.3" footer="0.3"/>
  <pageSetup paperSize="9" scale="90"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1"/>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BP!B34</f>
        <v>EX202609-0528</v>
      </c>
    </row>
    <row r="8" spans="1:4">
      <c r="A8" s="95" t="s">
        <v>191</v>
      </c>
      <c r="B8" s="57">
        <f>BP!M41</f>
        <v>46276</v>
      </c>
      <c r="C8" s="96"/>
      <c r="D8" s="95"/>
    </row>
    <row r="9" spans="1:4">
      <c r="A9" s="93" t="s">
        <v>192</v>
      </c>
      <c r="B9" s="93"/>
      <c r="C9" s="95"/>
      <c r="D9" s="97"/>
    </row>
    <row r="10" ht="17.6" spans="1:4">
      <c r="A10" s="91" t="s">
        <v>193</v>
      </c>
      <c r="B10" s="94" t="str">
        <f>IF(BP!C34="","",BP!C34)</f>
        <v>T222DFL</v>
      </c>
      <c r="C10" s="41"/>
      <c r="D10" s="91"/>
    </row>
    <row r="11" spans="1:4">
      <c r="A11" s="91" t="s">
        <v>194</v>
      </c>
      <c r="B11" s="98" t="str">
        <f>IF(BP!D34="","",BP!D34)</f>
        <v>T596CBD</v>
      </c>
      <c r="C11" s="93" t="s">
        <v>195</v>
      </c>
      <c r="D11" s="94" t="str">
        <f>IF(BP!E34="","",BP!E34)</f>
        <v>T429EMV</v>
      </c>
    </row>
    <row r="12" ht="17.6" spans="1:4">
      <c r="A12" s="91" t="s">
        <v>196</v>
      </c>
      <c r="B12" s="98" t="str">
        <f>IF(BP!G34="","",BP!G34)</f>
        <v>MUSTAFA OMARY</v>
      </c>
      <c r="C12" s="99" t="s">
        <v>197</v>
      </c>
      <c r="D12" s="91" t="str">
        <f>IF(BP!H34="","",BP!H34)</f>
        <v>AB02103761</v>
      </c>
    </row>
    <row r="13" spans="1:4">
      <c r="A13" s="91" t="s">
        <v>198</v>
      </c>
      <c r="B13" s="91"/>
      <c r="C13" s="100"/>
      <c r="D13" s="100"/>
    </row>
    <row r="14" spans="1:4">
      <c r="A14" s="91" t="s">
        <v>199</v>
      </c>
      <c r="B14" s="94" t="str">
        <f>IF(BP!I34="","",BP!I34)</f>
        <v>C.STEINWEG BRIDGE (PTY) LTD</v>
      </c>
      <c r="C14" s="100"/>
      <c r="D14" s="100"/>
    </row>
    <row r="15" spans="1:4">
      <c r="A15" s="95" t="s">
        <v>200</v>
      </c>
      <c r="B15" s="101" t="s">
        <v>201</v>
      </c>
      <c r="C15" s="102"/>
      <c r="D15" s="102"/>
    </row>
    <row r="16" spans="1:4">
      <c r="A16" s="95" t="s">
        <v>202</v>
      </c>
      <c r="B16" s="101" t="str">
        <f>IF(BP!J34="","",BP!J34)</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1248</v>
      </c>
      <c r="C19" s="104">
        <v>1587</v>
      </c>
      <c r="D19" s="104" t="s">
        <v>1249</v>
      </c>
    </row>
    <row r="20" ht="15" customHeight="1" spans="1:4">
      <c r="A20" s="104">
        <v>2</v>
      </c>
      <c r="B20" s="104" t="s">
        <v>1250</v>
      </c>
      <c r="C20" s="104">
        <v>1598</v>
      </c>
      <c r="D20" s="104" t="s">
        <v>1251</v>
      </c>
    </row>
    <row r="21" ht="15" customHeight="1" spans="1:4">
      <c r="A21" s="104">
        <v>3</v>
      </c>
      <c r="B21" s="104" t="s">
        <v>1252</v>
      </c>
      <c r="C21" s="104">
        <v>1452</v>
      </c>
      <c r="D21" s="104" t="s">
        <v>1253</v>
      </c>
    </row>
    <row r="22" ht="15" customHeight="1" spans="1:4">
      <c r="A22" s="104">
        <v>4</v>
      </c>
      <c r="B22" s="104" t="s">
        <v>1254</v>
      </c>
      <c r="C22" s="104">
        <v>1411</v>
      </c>
      <c r="D22" s="104" t="s">
        <v>1255</v>
      </c>
    </row>
    <row r="23" ht="15" customHeight="1" spans="1:4">
      <c r="A23" s="104">
        <v>5</v>
      </c>
      <c r="B23" s="104" t="s">
        <v>1256</v>
      </c>
      <c r="C23" s="104">
        <v>1518</v>
      </c>
      <c r="D23" s="104" t="s">
        <v>1257</v>
      </c>
    </row>
    <row r="24" ht="15" customHeight="1" spans="1:4">
      <c r="A24" s="104">
        <v>6</v>
      </c>
      <c r="B24" s="104" t="s">
        <v>1258</v>
      </c>
      <c r="C24" s="104">
        <v>1459</v>
      </c>
      <c r="D24" s="104" t="s">
        <v>1259</v>
      </c>
    </row>
    <row r="25" ht="15" customHeight="1" spans="1:4">
      <c r="A25" s="104">
        <v>7</v>
      </c>
      <c r="B25" s="104" t="s">
        <v>1260</v>
      </c>
      <c r="C25" s="104">
        <v>1441</v>
      </c>
      <c r="D25" s="104" t="s">
        <v>1261</v>
      </c>
    </row>
    <row r="26" ht="15" customHeight="1" spans="1:4">
      <c r="A26" s="104">
        <v>8</v>
      </c>
      <c r="B26" s="104" t="s">
        <v>1262</v>
      </c>
      <c r="C26" s="104">
        <v>1553</v>
      </c>
      <c r="D26" s="104" t="s">
        <v>1263</v>
      </c>
    </row>
    <row r="27" ht="15" customHeight="1" spans="1:4">
      <c r="A27" s="104">
        <v>9</v>
      </c>
      <c r="B27" s="104" t="s">
        <v>1264</v>
      </c>
      <c r="C27" s="104">
        <v>1437</v>
      </c>
      <c r="D27" s="104" t="s">
        <v>1265</v>
      </c>
    </row>
    <row r="28" ht="15" customHeight="1" spans="1:4">
      <c r="A28" s="104">
        <v>10</v>
      </c>
      <c r="B28" s="104" t="s">
        <v>1266</v>
      </c>
      <c r="C28" s="104">
        <v>1451</v>
      </c>
      <c r="D28" s="104" t="s">
        <v>1267</v>
      </c>
    </row>
    <row r="29" ht="15" customHeight="1" spans="1:4">
      <c r="A29" s="104">
        <v>11</v>
      </c>
      <c r="B29" s="104" t="s">
        <v>1268</v>
      </c>
      <c r="C29" s="104">
        <v>1530</v>
      </c>
      <c r="D29" s="104" t="s">
        <v>1269</v>
      </c>
    </row>
    <row r="30" ht="15" customHeight="1" spans="1:4">
      <c r="A30" s="104">
        <v>12</v>
      </c>
      <c r="B30" s="104" t="s">
        <v>1270</v>
      </c>
      <c r="C30" s="104">
        <v>1393</v>
      </c>
      <c r="D30" s="104" t="s">
        <v>1271</v>
      </c>
    </row>
    <row r="31" ht="15" customHeight="1" spans="1:4">
      <c r="A31" s="104">
        <v>13</v>
      </c>
      <c r="B31" s="104" t="s">
        <v>1272</v>
      </c>
      <c r="C31" s="104">
        <v>1519</v>
      </c>
      <c r="D31" s="104" t="s">
        <v>1273</v>
      </c>
    </row>
    <row r="32" ht="15" customHeight="1" spans="1:4">
      <c r="A32" s="104">
        <v>14</v>
      </c>
      <c r="B32" s="104" t="s">
        <v>1274</v>
      </c>
      <c r="C32" s="104">
        <v>1536</v>
      </c>
      <c r="D32" s="104" t="s">
        <v>1275</v>
      </c>
    </row>
    <row r="33" ht="15" customHeight="1" spans="1:4">
      <c r="A33" s="104">
        <v>15</v>
      </c>
      <c r="B33" s="104" t="s">
        <v>1276</v>
      </c>
      <c r="C33" s="104">
        <v>1372</v>
      </c>
      <c r="D33" s="104" t="s">
        <v>1277</v>
      </c>
    </row>
    <row r="34" ht="15" customHeight="1" spans="1:4">
      <c r="A34" s="104">
        <v>16</v>
      </c>
      <c r="B34" s="104" t="s">
        <v>1278</v>
      </c>
      <c r="C34" s="104">
        <v>1485</v>
      </c>
      <c r="D34" s="104" t="s">
        <v>1279</v>
      </c>
    </row>
    <row r="35" ht="15" customHeight="1" spans="1:4">
      <c r="A35" s="104">
        <v>17</v>
      </c>
      <c r="B35" s="104" t="s">
        <v>1280</v>
      </c>
      <c r="C35" s="104">
        <v>1323</v>
      </c>
      <c r="D35" s="104" t="s">
        <v>1281</v>
      </c>
    </row>
    <row r="36" ht="15" customHeight="1" spans="1:4">
      <c r="A36" s="104">
        <v>18</v>
      </c>
      <c r="B36" s="104" t="s">
        <v>1282</v>
      </c>
      <c r="C36" s="104">
        <v>1334</v>
      </c>
      <c r="D36" s="104" t="s">
        <v>1283</v>
      </c>
    </row>
    <row r="37" ht="15" customHeight="1" spans="1:4">
      <c r="A37" s="104">
        <v>19</v>
      </c>
      <c r="B37" s="104" t="s">
        <v>1284</v>
      </c>
      <c r="C37" s="104">
        <v>1348</v>
      </c>
      <c r="D37" s="104" t="s">
        <v>1285</v>
      </c>
    </row>
    <row r="38" ht="15" customHeight="1" spans="1:4">
      <c r="A38" s="104">
        <v>20</v>
      </c>
      <c r="B38" s="104" t="s">
        <v>1286</v>
      </c>
      <c r="C38" s="104">
        <v>1345</v>
      </c>
      <c r="D38" s="104" t="s">
        <v>1287</v>
      </c>
    </row>
    <row r="39" ht="15" customHeight="1" spans="1:4">
      <c r="A39" s="104">
        <v>21</v>
      </c>
      <c r="B39" s="104" t="s">
        <v>1288</v>
      </c>
      <c r="C39" s="104">
        <v>1501</v>
      </c>
      <c r="D39" s="104" t="s">
        <v>1289</v>
      </c>
    </row>
    <row r="40" ht="15" customHeight="1" spans="1:4">
      <c r="A40" s="104">
        <v>22</v>
      </c>
      <c r="B40" s="104" t="s">
        <v>1290</v>
      </c>
      <c r="C40" s="104">
        <v>1458</v>
      </c>
      <c r="D40" s="104" t="s">
        <v>1291</v>
      </c>
    </row>
    <row r="41" ht="15" customHeight="1" spans="1:4">
      <c r="A41" s="104">
        <v>23</v>
      </c>
      <c r="B41" s="104" t="s">
        <v>1292</v>
      </c>
      <c r="C41" s="104">
        <v>1289</v>
      </c>
      <c r="D41" s="104" t="s">
        <v>1293</v>
      </c>
    </row>
    <row r="42" ht="15" customHeight="1" spans="1:4">
      <c r="A42" s="104">
        <v>24</v>
      </c>
      <c r="B42" s="104" t="s">
        <v>1294</v>
      </c>
      <c r="C42" s="104">
        <v>1350</v>
      </c>
      <c r="D42" s="104" t="s">
        <v>1295</v>
      </c>
    </row>
    <row r="43" ht="15" customHeight="1" spans="1:4">
      <c r="A43" s="104"/>
      <c r="B43" s="104"/>
      <c r="C43" s="104"/>
      <c r="D43" s="104"/>
    </row>
    <row r="44" ht="15" customHeight="1" spans="1:4">
      <c r="A44" s="104" t="s">
        <v>251</v>
      </c>
      <c r="B44" s="104"/>
      <c r="C44" s="104">
        <f>SUM(C19:C42)</f>
        <v>34690</v>
      </c>
      <c r="D44" s="105"/>
    </row>
    <row r="47" spans="1:4">
      <c r="A47" t="s">
        <v>252</v>
      </c>
    </row>
    <row r="48" spans="1:4">
      <c r="A48" t="s">
        <v>253</v>
      </c>
    </row>
    <row r="49" spans="1:3">
      <c r="A49" t="s">
        <v>254</v>
      </c>
    </row>
    <row r="50" spans="1:3">
      <c r="A50" t="s">
        <v>255</v>
      </c>
      <c r="C50" t="s">
        <v>256</v>
      </c>
    </row>
    <row r="51" spans="1:3">
      <c r="A51" t="s">
        <v>257</v>
      </c>
      <c r="C51" t="s">
        <v>258</v>
      </c>
    </row>
  </sheetData>
  <mergeCells count="8">
    <mergeCell ref="A3:B3"/>
    <mergeCell ref="A4:B4"/>
    <mergeCell ref="A5:C5"/>
    <mergeCell ref="A6:D6"/>
    <mergeCell ref="A9:B9"/>
    <mergeCell ref="A43:C43"/>
    <mergeCell ref="A1:D2"/>
    <mergeCell ref="C13:D14"/>
  </mergeCells>
  <pageMargins left="0.7" right="0.7" top="0.75" bottom="0.75" header="0.3" footer="0.3"/>
  <pageSetup paperSize="9" scale="90"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0"/>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BP!B35</f>
        <v>EX202609-0529</v>
      </c>
    </row>
    <row r="8" spans="1:4">
      <c r="A8" s="95" t="s">
        <v>191</v>
      </c>
      <c r="B8" s="57">
        <f>BP!M41</f>
        <v>46276</v>
      </c>
      <c r="C8" s="96"/>
      <c r="D8" s="95"/>
    </row>
    <row r="9" spans="1:4">
      <c r="A9" s="93" t="s">
        <v>192</v>
      </c>
      <c r="B9" s="93"/>
      <c r="C9" s="95"/>
      <c r="D9" s="97"/>
    </row>
    <row r="10" ht="17.6" spans="1:4">
      <c r="A10" s="91" t="s">
        <v>193</v>
      </c>
      <c r="B10" s="94" t="str">
        <f>IF(BP!C35="","",BP!C35)</f>
        <v>T602DYY</v>
      </c>
      <c r="C10" s="41"/>
      <c r="D10" s="91"/>
    </row>
    <row r="11" spans="1:4">
      <c r="A11" s="91" t="s">
        <v>194</v>
      </c>
      <c r="B11" s="98" t="str">
        <f>IF(BP!D35="","",BP!D35)</f>
        <v>T494BRX</v>
      </c>
      <c r="C11" s="93" t="s">
        <v>195</v>
      </c>
      <c r="D11" s="94" t="str">
        <f>IF(BP!E35="","",BP!E35)</f>
        <v>T415EPH</v>
      </c>
    </row>
    <row r="12" ht="17.6" spans="1:4">
      <c r="A12" s="91" t="s">
        <v>196</v>
      </c>
      <c r="B12" s="98" t="str">
        <f>IF(BP!G35="","",BP!G35)</f>
        <v>IDDI JUMA</v>
      </c>
      <c r="C12" s="99" t="s">
        <v>197</v>
      </c>
      <c r="D12" s="91" t="str">
        <f>IF(BP!H35="","",BP!H35)</f>
        <v>TAE854999</v>
      </c>
    </row>
    <row r="13" spans="1:4">
      <c r="A13" s="91" t="s">
        <v>198</v>
      </c>
      <c r="B13" s="91"/>
      <c r="C13" s="100"/>
      <c r="D13" s="100"/>
    </row>
    <row r="14" spans="1:4">
      <c r="A14" s="91" t="s">
        <v>199</v>
      </c>
      <c r="B14" s="94" t="str">
        <f>IF(BP!I35="","",BP!I35)</f>
        <v>C.STEINWEG BRIDGE (PTY) LTD</v>
      </c>
      <c r="C14" s="100"/>
      <c r="D14" s="100"/>
    </row>
    <row r="15" spans="1:4">
      <c r="A15" s="95" t="s">
        <v>200</v>
      </c>
      <c r="B15" s="101" t="s">
        <v>201</v>
      </c>
      <c r="C15" s="102"/>
      <c r="D15" s="102"/>
    </row>
    <row r="16" spans="1:4">
      <c r="A16" s="95" t="s">
        <v>202</v>
      </c>
      <c r="B16" s="101" t="str">
        <f>IF(BP!J35="","",BP!J35)</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1296</v>
      </c>
      <c r="C19" s="104">
        <v>1507</v>
      </c>
      <c r="D19" s="104" t="s">
        <v>1297</v>
      </c>
    </row>
    <row r="20" ht="15" customHeight="1" spans="1:4">
      <c r="A20" s="104">
        <v>2</v>
      </c>
      <c r="B20" s="104" t="s">
        <v>1298</v>
      </c>
      <c r="C20" s="104">
        <v>1517</v>
      </c>
      <c r="D20" s="104" t="s">
        <v>1299</v>
      </c>
    </row>
    <row r="21" ht="15" customHeight="1" spans="1:4">
      <c r="A21" s="104">
        <v>3</v>
      </c>
      <c r="B21" s="104" t="s">
        <v>1300</v>
      </c>
      <c r="C21" s="104">
        <v>1566</v>
      </c>
      <c r="D21" s="104" t="s">
        <v>1301</v>
      </c>
    </row>
    <row r="22" ht="15" customHeight="1" spans="1:4">
      <c r="A22" s="104">
        <v>4</v>
      </c>
      <c r="B22" s="104" t="s">
        <v>1302</v>
      </c>
      <c r="C22" s="104">
        <v>1589</v>
      </c>
      <c r="D22" s="104" t="s">
        <v>1303</v>
      </c>
    </row>
    <row r="23" ht="15" customHeight="1" spans="1:4">
      <c r="A23" s="104">
        <v>5</v>
      </c>
      <c r="B23" s="104" t="s">
        <v>1304</v>
      </c>
      <c r="C23" s="104">
        <v>1533</v>
      </c>
      <c r="D23" s="104" t="s">
        <v>1305</v>
      </c>
    </row>
    <row r="24" ht="15" customHeight="1" spans="1:4">
      <c r="A24" s="104">
        <v>6</v>
      </c>
      <c r="B24" s="104" t="s">
        <v>1306</v>
      </c>
      <c r="C24" s="104">
        <v>1625</v>
      </c>
      <c r="D24" s="104" t="s">
        <v>1307</v>
      </c>
    </row>
    <row r="25" ht="15" customHeight="1" spans="1:4">
      <c r="A25" s="104">
        <v>7</v>
      </c>
      <c r="B25" s="104" t="s">
        <v>1308</v>
      </c>
      <c r="C25" s="104">
        <v>1571</v>
      </c>
      <c r="D25" s="104" t="s">
        <v>1309</v>
      </c>
    </row>
    <row r="26" ht="15" customHeight="1" spans="1:4">
      <c r="A26" s="104">
        <v>8</v>
      </c>
      <c r="B26" s="104" t="s">
        <v>1310</v>
      </c>
      <c r="C26" s="104">
        <v>1516</v>
      </c>
      <c r="D26" s="104" t="s">
        <v>1311</v>
      </c>
    </row>
    <row r="27" ht="15" customHeight="1" spans="1:4">
      <c r="A27" s="104">
        <v>9</v>
      </c>
      <c r="B27" s="104" t="s">
        <v>1312</v>
      </c>
      <c r="C27" s="104">
        <v>1666</v>
      </c>
      <c r="D27" s="104" t="s">
        <v>1313</v>
      </c>
    </row>
    <row r="28" ht="15" customHeight="1" spans="1:4">
      <c r="A28" s="104">
        <v>10</v>
      </c>
      <c r="B28" s="104" t="s">
        <v>1314</v>
      </c>
      <c r="C28" s="104">
        <v>1600</v>
      </c>
      <c r="D28" s="104" t="s">
        <v>1315</v>
      </c>
    </row>
    <row r="29" ht="15" customHeight="1" spans="1:4">
      <c r="A29" s="104">
        <v>11</v>
      </c>
      <c r="B29" s="104" t="s">
        <v>1316</v>
      </c>
      <c r="C29" s="104">
        <v>1142</v>
      </c>
      <c r="D29" s="104" t="s">
        <v>1317</v>
      </c>
    </row>
    <row r="30" ht="15" customHeight="1" spans="1:4">
      <c r="A30" s="104">
        <v>12</v>
      </c>
      <c r="B30" s="104" t="s">
        <v>1318</v>
      </c>
      <c r="C30" s="104">
        <v>1541</v>
      </c>
      <c r="D30" s="104" t="s">
        <v>1319</v>
      </c>
    </row>
    <row r="31" ht="15" customHeight="1" spans="1:4">
      <c r="A31" s="104">
        <v>13</v>
      </c>
      <c r="B31" s="104" t="s">
        <v>1320</v>
      </c>
      <c r="C31" s="104">
        <v>1435</v>
      </c>
      <c r="D31" s="104" t="s">
        <v>1321</v>
      </c>
    </row>
    <row r="32" ht="15" customHeight="1" spans="1:4">
      <c r="A32" s="104">
        <v>14</v>
      </c>
      <c r="B32" s="104" t="s">
        <v>1322</v>
      </c>
      <c r="C32" s="104">
        <v>1460</v>
      </c>
      <c r="D32" s="104" t="s">
        <v>1323</v>
      </c>
    </row>
    <row r="33" ht="15" customHeight="1" spans="1:4">
      <c r="A33" s="104">
        <v>15</v>
      </c>
      <c r="B33" s="104" t="s">
        <v>1324</v>
      </c>
      <c r="C33" s="104">
        <v>1182</v>
      </c>
      <c r="D33" s="104" t="s">
        <v>1325</v>
      </c>
    </row>
    <row r="34" ht="15" customHeight="1" spans="1:4">
      <c r="A34" s="104">
        <v>16</v>
      </c>
      <c r="B34" s="104" t="s">
        <v>1326</v>
      </c>
      <c r="C34" s="104">
        <v>1343</v>
      </c>
      <c r="D34" s="104" t="s">
        <v>1327</v>
      </c>
    </row>
    <row r="35" ht="15" customHeight="1" spans="1:4">
      <c r="A35" s="104">
        <v>17</v>
      </c>
      <c r="B35" s="104" t="s">
        <v>1328</v>
      </c>
      <c r="C35" s="104">
        <v>1573</v>
      </c>
      <c r="D35" s="104" t="s">
        <v>1329</v>
      </c>
    </row>
    <row r="36" ht="15" customHeight="1" spans="1:4">
      <c r="A36" s="104">
        <v>18</v>
      </c>
      <c r="B36" s="104" t="s">
        <v>1330</v>
      </c>
      <c r="C36" s="104">
        <v>1281</v>
      </c>
      <c r="D36" s="104" t="s">
        <v>1331</v>
      </c>
    </row>
    <row r="37" ht="15" customHeight="1" spans="1:4">
      <c r="A37" s="104">
        <v>19</v>
      </c>
      <c r="B37" s="104" t="s">
        <v>1332</v>
      </c>
      <c r="C37" s="104">
        <v>1450</v>
      </c>
      <c r="D37" s="104" t="s">
        <v>1333</v>
      </c>
    </row>
    <row r="38" ht="15" customHeight="1" spans="1:4">
      <c r="A38" s="104">
        <v>20</v>
      </c>
      <c r="B38" s="104" t="s">
        <v>1334</v>
      </c>
      <c r="C38" s="104">
        <v>1608</v>
      </c>
      <c r="D38" s="104" t="s">
        <v>1335</v>
      </c>
    </row>
    <row r="39" ht="15" customHeight="1" spans="1:4">
      <c r="A39" s="104">
        <v>21</v>
      </c>
      <c r="B39" s="104" t="s">
        <v>1336</v>
      </c>
      <c r="C39" s="104">
        <v>1562</v>
      </c>
      <c r="D39" s="104" t="s">
        <v>1337</v>
      </c>
    </row>
    <row r="40" ht="15" customHeight="1" spans="1:4">
      <c r="A40" s="104">
        <v>22</v>
      </c>
      <c r="B40" s="104" t="s">
        <v>1338</v>
      </c>
      <c r="C40" s="104">
        <v>1470</v>
      </c>
      <c r="D40" s="104" t="s">
        <v>1339</v>
      </c>
    </row>
    <row r="41" ht="15" customHeight="1" spans="1:4">
      <c r="A41" s="104">
        <v>23</v>
      </c>
      <c r="B41" s="104" t="s">
        <v>1340</v>
      </c>
      <c r="C41" s="104">
        <v>1533</v>
      </c>
      <c r="D41" s="104" t="s">
        <v>1341</v>
      </c>
    </row>
    <row r="42" ht="15" customHeight="1" spans="1:4">
      <c r="A42" s="104"/>
      <c r="B42" s="104"/>
      <c r="C42" s="104"/>
      <c r="D42" s="104"/>
    </row>
    <row r="43" ht="15" customHeight="1" spans="1:4">
      <c r="A43" s="104" t="s">
        <v>251</v>
      </c>
      <c r="B43" s="104"/>
      <c r="C43" s="104">
        <f>SUM(C19:C41)</f>
        <v>34270</v>
      </c>
      <c r="D43" s="104"/>
    </row>
    <row r="44" ht="15" customHeight="1" spans="1:4">
      <c r="A44" s="104"/>
      <c r="B44" s="104"/>
      <c r="C44" s="104"/>
      <c r="D44" s="105"/>
    </row>
    <row r="46" spans="1:4">
      <c r="A46" t="s">
        <v>252</v>
      </c>
    </row>
    <row r="47" spans="1:4">
      <c r="A47" t="s">
        <v>253</v>
      </c>
    </row>
    <row r="48" spans="1:4">
      <c r="A48" t="s">
        <v>254</v>
      </c>
    </row>
    <row r="49" spans="1:3">
      <c r="A49" t="s">
        <v>255</v>
      </c>
      <c r="C49" t="s">
        <v>256</v>
      </c>
    </row>
    <row r="50" spans="1:3">
      <c r="A50" t="s">
        <v>257</v>
      </c>
      <c r="C50" t="s">
        <v>258</v>
      </c>
    </row>
  </sheetData>
  <mergeCells count="8">
    <mergeCell ref="A3:B3"/>
    <mergeCell ref="A4:B4"/>
    <mergeCell ref="A5:C5"/>
    <mergeCell ref="A6:D6"/>
    <mergeCell ref="A9:B9"/>
    <mergeCell ref="A42:C42"/>
    <mergeCell ref="A1:D2"/>
    <mergeCell ref="C13:D14"/>
  </mergeCells>
  <pageMargins left="0.7" right="0.7" top="0.75" bottom="0.75" header="0.3" footer="0.3"/>
  <pageSetup paperSize="9" scale="94"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52"/>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BP!B36</f>
        <v>EX202609-0530</v>
      </c>
    </row>
    <row r="8" spans="1:4">
      <c r="A8" s="95" t="s">
        <v>191</v>
      </c>
      <c r="B8" s="57">
        <f>BP!M41</f>
        <v>46276</v>
      </c>
      <c r="C8" s="96"/>
      <c r="D8" s="95"/>
    </row>
    <row r="9" spans="1:4">
      <c r="A9" s="93" t="s">
        <v>192</v>
      </c>
      <c r="B9" s="93"/>
      <c r="C9" s="95"/>
      <c r="D9" s="97"/>
    </row>
    <row r="10" ht="17.6" spans="1:4">
      <c r="A10" s="91" t="s">
        <v>193</v>
      </c>
      <c r="B10" s="94" t="str">
        <f>IF(BP!C36="","",BP!C36)</f>
        <v>T605EGH</v>
      </c>
      <c r="C10" s="41"/>
      <c r="D10" s="91"/>
    </row>
    <row r="11" spans="1:4">
      <c r="A11" s="91" t="s">
        <v>194</v>
      </c>
      <c r="B11" s="98" t="str">
        <f>IF(BP!D36="","",BP!D36)</f>
        <v>T314ECC</v>
      </c>
      <c r="C11" s="93" t="s">
        <v>195</v>
      </c>
      <c r="D11" s="94" t="str">
        <f>IF(BP!E36="","",BP!E36)</f>
        <v>T980EHQ</v>
      </c>
    </row>
    <row r="12" ht="17.6" spans="1:4">
      <c r="A12" s="91" t="s">
        <v>196</v>
      </c>
      <c r="B12" s="98" t="str">
        <f>IF(BP!G36="","",BP!G36)</f>
        <v>RAMADHAN RUME</v>
      </c>
      <c r="C12" s="99" t="s">
        <v>197</v>
      </c>
      <c r="D12" s="91" t="str">
        <f>IF(BP!H36="","",BP!H36)</f>
        <v>TAE499949</v>
      </c>
    </row>
    <row r="13" spans="1:4">
      <c r="A13" s="91" t="s">
        <v>198</v>
      </c>
      <c r="B13" s="91"/>
      <c r="C13" s="100"/>
      <c r="D13" s="100"/>
    </row>
    <row r="14" spans="1:4">
      <c r="A14" s="91" t="s">
        <v>199</v>
      </c>
      <c r="B14" s="94" t="str">
        <f>IF(BP!I36="","",BP!I36)</f>
        <v>C.STEINWEG BRIDGE (PTY) LTD</v>
      </c>
      <c r="C14" s="100"/>
      <c r="D14" s="100"/>
    </row>
    <row r="15" spans="1:4">
      <c r="A15" s="95" t="s">
        <v>200</v>
      </c>
      <c r="B15" s="101" t="s">
        <v>201</v>
      </c>
      <c r="C15" s="102"/>
      <c r="D15" s="102"/>
    </row>
    <row r="16" spans="1:4">
      <c r="A16" s="95" t="s">
        <v>202</v>
      </c>
      <c r="B16" s="101" t="str">
        <f>IF(BP!J36="","",BP!J36)</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1342</v>
      </c>
      <c r="C19" s="104">
        <v>1391</v>
      </c>
      <c r="D19" s="104" t="s">
        <v>1343</v>
      </c>
    </row>
    <row r="20" ht="15" customHeight="1" spans="1:4">
      <c r="A20" s="104">
        <v>2</v>
      </c>
      <c r="B20" s="104" t="s">
        <v>1344</v>
      </c>
      <c r="C20" s="104">
        <v>1287</v>
      </c>
      <c r="D20" s="104" t="s">
        <v>1345</v>
      </c>
    </row>
    <row r="21" ht="15" customHeight="1" spans="1:4">
      <c r="A21" s="104">
        <v>3</v>
      </c>
      <c r="B21" s="104" t="s">
        <v>1346</v>
      </c>
      <c r="C21" s="104">
        <v>1418</v>
      </c>
      <c r="D21" s="104" t="s">
        <v>1347</v>
      </c>
    </row>
    <row r="22" ht="15" customHeight="1" spans="1:4">
      <c r="A22" s="104">
        <v>4</v>
      </c>
      <c r="B22" s="104" t="s">
        <v>1348</v>
      </c>
      <c r="C22" s="104">
        <v>1384</v>
      </c>
      <c r="D22" s="104" t="s">
        <v>1349</v>
      </c>
    </row>
    <row r="23" ht="15" customHeight="1" spans="1:4">
      <c r="A23" s="104">
        <v>5</v>
      </c>
      <c r="B23" s="104" t="s">
        <v>1350</v>
      </c>
      <c r="C23" s="104">
        <v>1415</v>
      </c>
      <c r="D23" s="104" t="s">
        <v>1351</v>
      </c>
    </row>
    <row r="24" ht="15" customHeight="1" spans="1:4">
      <c r="A24" s="104">
        <v>6</v>
      </c>
      <c r="B24" s="104" t="s">
        <v>1352</v>
      </c>
      <c r="C24" s="104">
        <v>1370</v>
      </c>
      <c r="D24" s="104" t="s">
        <v>1353</v>
      </c>
    </row>
    <row r="25" ht="15" customHeight="1" spans="1:4">
      <c r="A25" s="104">
        <v>7</v>
      </c>
      <c r="B25" s="104" t="s">
        <v>1354</v>
      </c>
      <c r="C25" s="104">
        <v>1531</v>
      </c>
      <c r="D25" s="104" t="s">
        <v>1355</v>
      </c>
    </row>
    <row r="26" ht="15" customHeight="1" spans="1:4">
      <c r="A26" s="104">
        <v>8</v>
      </c>
      <c r="B26" s="104" t="s">
        <v>1356</v>
      </c>
      <c r="C26" s="104">
        <v>1451</v>
      </c>
      <c r="D26" s="104" t="s">
        <v>1357</v>
      </c>
    </row>
    <row r="27" ht="15" customHeight="1" spans="1:4">
      <c r="A27" s="104">
        <v>9</v>
      </c>
      <c r="B27" s="104" t="s">
        <v>1358</v>
      </c>
      <c r="C27" s="104">
        <v>1320</v>
      </c>
      <c r="D27" s="104" t="s">
        <v>1359</v>
      </c>
    </row>
    <row r="28" ht="15" customHeight="1" spans="1:4">
      <c r="A28" s="104">
        <v>10</v>
      </c>
      <c r="B28" s="104" t="s">
        <v>1360</v>
      </c>
      <c r="C28" s="104">
        <v>1366</v>
      </c>
      <c r="D28" s="104" t="s">
        <v>1361</v>
      </c>
    </row>
    <row r="29" ht="15" customHeight="1" spans="1:4">
      <c r="A29" s="104">
        <v>11</v>
      </c>
      <c r="B29" s="104" t="s">
        <v>1362</v>
      </c>
      <c r="C29" s="104">
        <v>1475</v>
      </c>
      <c r="D29" s="104" t="s">
        <v>1363</v>
      </c>
    </row>
    <row r="30" ht="15" customHeight="1" spans="1:4">
      <c r="A30" s="104">
        <v>12</v>
      </c>
      <c r="B30" s="104" t="s">
        <v>1364</v>
      </c>
      <c r="C30" s="104">
        <v>1267</v>
      </c>
      <c r="D30" s="104" t="s">
        <v>1365</v>
      </c>
    </row>
    <row r="31" ht="15" customHeight="1" spans="1:4">
      <c r="A31" s="104">
        <v>13</v>
      </c>
      <c r="B31" s="104" t="s">
        <v>1366</v>
      </c>
      <c r="C31" s="104">
        <v>1413</v>
      </c>
      <c r="D31" s="104" t="s">
        <v>1367</v>
      </c>
    </row>
    <row r="32" ht="15" customHeight="1" spans="1:4">
      <c r="A32" s="104">
        <v>14</v>
      </c>
      <c r="B32" s="104" t="s">
        <v>1368</v>
      </c>
      <c r="C32" s="104">
        <v>1428</v>
      </c>
      <c r="D32" s="104" t="s">
        <v>1369</v>
      </c>
    </row>
    <row r="33" ht="15" customHeight="1" spans="1:4">
      <c r="A33" s="104">
        <v>15</v>
      </c>
      <c r="B33" s="104" t="s">
        <v>1370</v>
      </c>
      <c r="C33" s="104">
        <v>1354</v>
      </c>
      <c r="D33" s="104" t="s">
        <v>1371</v>
      </c>
    </row>
    <row r="34" ht="15" customHeight="1" spans="1:4">
      <c r="A34" s="104">
        <v>16</v>
      </c>
      <c r="B34" s="104" t="s">
        <v>1372</v>
      </c>
      <c r="C34" s="104">
        <v>1488</v>
      </c>
      <c r="D34" s="104" t="s">
        <v>1373</v>
      </c>
    </row>
    <row r="35" ht="15" customHeight="1" spans="1:4">
      <c r="A35" s="104">
        <v>17</v>
      </c>
      <c r="B35" s="104" t="s">
        <v>1374</v>
      </c>
      <c r="C35" s="104">
        <v>1476</v>
      </c>
      <c r="D35" s="104" t="s">
        <v>1375</v>
      </c>
    </row>
    <row r="36" ht="15" customHeight="1" spans="1:4">
      <c r="A36" s="104">
        <v>18</v>
      </c>
      <c r="B36" s="104" t="s">
        <v>1376</v>
      </c>
      <c r="C36" s="104">
        <v>1309</v>
      </c>
      <c r="D36" s="104" t="s">
        <v>1377</v>
      </c>
    </row>
    <row r="37" ht="15" customHeight="1" spans="1:4">
      <c r="A37" s="104">
        <v>19</v>
      </c>
      <c r="B37" s="104" t="s">
        <v>1378</v>
      </c>
      <c r="C37" s="104">
        <v>1275</v>
      </c>
      <c r="D37" s="104" t="s">
        <v>1379</v>
      </c>
    </row>
    <row r="38" ht="15" customHeight="1" spans="1:4">
      <c r="A38" s="104">
        <v>20</v>
      </c>
      <c r="B38" s="104" t="s">
        <v>1380</v>
      </c>
      <c r="C38" s="104">
        <v>1444</v>
      </c>
      <c r="D38" s="104" t="s">
        <v>1381</v>
      </c>
    </row>
    <row r="39" ht="15" customHeight="1" spans="1:4">
      <c r="A39" s="104">
        <v>21</v>
      </c>
      <c r="B39" s="104" t="s">
        <v>1382</v>
      </c>
      <c r="C39" s="104">
        <v>1377</v>
      </c>
      <c r="D39" s="104" t="s">
        <v>1383</v>
      </c>
    </row>
    <row r="40" ht="15" customHeight="1" spans="1:4">
      <c r="A40" s="104">
        <v>22</v>
      </c>
      <c r="B40" s="104" t="s">
        <v>1384</v>
      </c>
      <c r="C40" s="104">
        <v>1399</v>
      </c>
      <c r="D40" s="104" t="s">
        <v>1385</v>
      </c>
    </row>
    <row r="41" ht="15" customHeight="1" spans="1:4">
      <c r="A41" s="104">
        <v>23</v>
      </c>
      <c r="B41" s="104" t="s">
        <v>1386</v>
      </c>
      <c r="C41" s="104">
        <v>1309</v>
      </c>
      <c r="D41" s="104" t="s">
        <v>1387</v>
      </c>
    </row>
    <row r="42" ht="15" customHeight="1" spans="1:4">
      <c r="A42" s="104">
        <v>24</v>
      </c>
      <c r="B42" s="104" t="s">
        <v>1388</v>
      </c>
      <c r="C42" s="104">
        <v>1376</v>
      </c>
      <c r="D42" s="104" t="s">
        <v>1389</v>
      </c>
    </row>
    <row r="43" ht="15" customHeight="1" spans="1:4">
      <c r="A43" s="104">
        <v>25</v>
      </c>
      <c r="B43" s="104" t="s">
        <v>1390</v>
      </c>
      <c r="C43" s="104">
        <v>1329</v>
      </c>
      <c r="D43" s="104" t="s">
        <v>1391</v>
      </c>
    </row>
    <row r="44" ht="15" customHeight="1" spans="1:4">
      <c r="A44" s="104"/>
      <c r="B44" s="104"/>
      <c r="C44" s="104"/>
      <c r="D44" s="105"/>
    </row>
    <row r="45" spans="1:4">
      <c r="A45" t="s">
        <v>251</v>
      </c>
      <c r="C45">
        <f>SUM(C19:C43)</f>
        <v>34652</v>
      </c>
    </row>
    <row r="48" spans="1:4">
      <c r="A48" t="s">
        <v>252</v>
      </c>
    </row>
    <row r="49" spans="1:3">
      <c r="A49" t="s">
        <v>253</v>
      </c>
    </row>
    <row r="50" spans="1:3">
      <c r="A50" t="s">
        <v>254</v>
      </c>
    </row>
    <row r="51" spans="1:3">
      <c r="A51" t="s">
        <v>255</v>
      </c>
      <c r="C51" t="s">
        <v>256</v>
      </c>
    </row>
    <row r="52" spans="1:3">
      <c r="A52" t="s">
        <v>257</v>
      </c>
      <c r="C52" t="s">
        <v>258</v>
      </c>
    </row>
  </sheetData>
  <mergeCells count="8">
    <mergeCell ref="A3:B3"/>
    <mergeCell ref="A4:B4"/>
    <mergeCell ref="A5:C5"/>
    <mergeCell ref="A6:D6"/>
    <mergeCell ref="A9:B9"/>
    <mergeCell ref="A44:C44"/>
    <mergeCell ref="A1:D2"/>
    <mergeCell ref="C13:D14"/>
  </mergeCells>
  <pageMargins left="0.7" right="0.7" top="0.75" bottom="0.75" header="0.3" footer="0.3"/>
  <pageSetup paperSize="9" scale="90"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48"/>
  <sheetViews>
    <sheetView workbookViewId="0">
      <selection activeCell="A1" sqref="A1:D2"/>
    </sheetView>
  </sheetViews>
  <sheetFormatPr defaultColWidth="9" defaultRowHeight="16.8" outlineLevelCol="3"/>
  <cols>
    <col min="1" max="1" width="21.8942307692308" customWidth="1"/>
    <col min="2" max="2" width="27.2211538461538" customWidth="1"/>
    <col min="3" max="3" width="25.3365384615385" customWidth="1"/>
    <col min="4" max="4" width="17.4423076923077" customWidth="1"/>
  </cols>
  <sheetData>
    <row r="1" spans="1:4">
      <c r="A1" s="89" t="s">
        <v>581</v>
      </c>
      <c r="B1" s="42"/>
      <c r="C1" s="42"/>
      <c r="D1" s="42"/>
    </row>
    <row r="2" spans="1:4">
      <c r="A2" s="42"/>
      <c r="B2" s="42"/>
      <c r="C2" s="42"/>
      <c r="D2" s="42"/>
    </row>
    <row r="3" ht="17.6" spans="1:4">
      <c r="A3" s="43" t="s">
        <v>1</v>
      </c>
      <c r="B3" s="43"/>
      <c r="C3" s="41"/>
      <c r="D3" s="45" t="s">
        <v>186</v>
      </c>
    </row>
    <row r="4" ht="17.6" spans="1:4">
      <c r="A4" s="43" t="s">
        <v>3</v>
      </c>
      <c r="B4" s="43"/>
      <c r="C4" s="41"/>
      <c r="D4" s="45" t="s">
        <v>4</v>
      </c>
    </row>
    <row r="5" spans="1:4">
      <c r="A5" s="43" t="s">
        <v>5</v>
      </c>
      <c r="B5" s="43"/>
      <c r="C5" s="43"/>
      <c r="D5" s="46"/>
    </row>
    <row r="6" ht="17.55" spans="1:4">
      <c r="A6" s="90" t="s">
        <v>187</v>
      </c>
      <c r="B6" s="90"/>
      <c r="C6" s="90"/>
      <c r="D6" s="90"/>
    </row>
    <row r="7" spans="1:4">
      <c r="A7" s="91" t="s">
        <v>188</v>
      </c>
      <c r="B7" s="92" t="s">
        <v>189</v>
      </c>
      <c r="C7" s="93" t="s">
        <v>190</v>
      </c>
      <c r="D7" s="94" t="str">
        <f>BP!B37</f>
        <v>EX202609-0531</v>
      </c>
    </row>
    <row r="8" spans="1:4">
      <c r="A8" s="95" t="s">
        <v>191</v>
      </c>
      <c r="B8" s="57">
        <f>BP!M41</f>
        <v>46276</v>
      </c>
      <c r="C8" s="96"/>
      <c r="D8" s="95"/>
    </row>
    <row r="9" spans="1:4">
      <c r="A9" s="93" t="s">
        <v>192</v>
      </c>
      <c r="B9" s="93"/>
      <c r="C9" s="95"/>
      <c r="D9" s="97"/>
    </row>
    <row r="10" ht="17.6" spans="1:4">
      <c r="A10" s="91" t="s">
        <v>193</v>
      </c>
      <c r="B10" s="94" t="str">
        <f>IF(BP!C37="","",BP!C37)</f>
        <v>T412EEG</v>
      </c>
      <c r="C10" s="41"/>
      <c r="D10" s="91"/>
    </row>
    <row r="11" spans="1:4">
      <c r="A11" s="91" t="s">
        <v>194</v>
      </c>
      <c r="B11" s="98" t="str">
        <f>IF(BP!D37="","",BP!D37)</f>
        <v>T826EFK</v>
      </c>
      <c r="C11" s="93" t="s">
        <v>195</v>
      </c>
      <c r="D11" s="94" t="str">
        <f>IF(BP!E37="","",BP!E37)</f>
        <v>NA</v>
      </c>
    </row>
    <row r="12" ht="17.6" spans="1:4">
      <c r="A12" s="91" t="s">
        <v>196</v>
      </c>
      <c r="B12" s="98" t="str">
        <f>IF(BP!G37="","",BP!G37)</f>
        <v>HASSAN OMAR</v>
      </c>
      <c r="C12" s="99" t="s">
        <v>197</v>
      </c>
      <c r="D12" s="91" t="str">
        <f>IF(BP!H37="","",BP!H37)</f>
        <v>TAE180869</v>
      </c>
    </row>
    <row r="13" spans="1:4">
      <c r="A13" s="91" t="s">
        <v>198</v>
      </c>
      <c r="B13" s="91"/>
      <c r="C13" s="100"/>
      <c r="D13" s="100"/>
    </row>
    <row r="14" spans="1:4">
      <c r="A14" s="91" t="s">
        <v>199</v>
      </c>
      <c r="B14" s="94" t="str">
        <f>IF(BP!I37="","",BP!I37)</f>
        <v>IMPERIAL ROAD HAULAGE LTD</v>
      </c>
      <c r="C14" s="100"/>
      <c r="D14" s="100"/>
    </row>
    <row r="15" spans="1:4">
      <c r="A15" s="95" t="s">
        <v>200</v>
      </c>
      <c r="B15" s="101" t="s">
        <v>201</v>
      </c>
      <c r="C15" s="102"/>
      <c r="D15" s="102"/>
    </row>
    <row r="16" spans="1:4">
      <c r="A16" s="95" t="s">
        <v>202</v>
      </c>
      <c r="B16" s="101" t="str">
        <f>IF(BP!J37="","",BP!J37)</f>
        <v>Dar es Salaam</v>
      </c>
      <c r="C16" s="102"/>
      <c r="D16" s="102"/>
    </row>
    <row r="17" spans="1:4">
      <c r="A17" s="95" t="s">
        <v>203</v>
      </c>
      <c r="B17" s="103" t="str">
        <f>BP!K7</f>
        <v>CONNEX</v>
      </c>
      <c r="C17" s="102"/>
      <c r="D17" s="102"/>
    </row>
    <row r="18" spans="1:4">
      <c r="A18" s="104" t="s">
        <v>16</v>
      </c>
      <c r="B18" s="104" t="s">
        <v>204</v>
      </c>
      <c r="C18" s="104" t="s">
        <v>205</v>
      </c>
      <c r="D18" s="104" t="s">
        <v>206</v>
      </c>
    </row>
    <row r="19" ht="15" customHeight="1" spans="1:4">
      <c r="A19" s="104">
        <v>1</v>
      </c>
      <c r="B19" s="104" t="s">
        <v>1392</v>
      </c>
      <c r="C19" s="104">
        <v>1575</v>
      </c>
      <c r="D19" s="104" t="s">
        <v>1393</v>
      </c>
    </row>
    <row r="20" ht="15" customHeight="1" spans="1:4">
      <c r="A20" s="104">
        <v>2</v>
      </c>
      <c r="B20" s="104" t="s">
        <v>1394</v>
      </c>
      <c r="C20" s="104">
        <v>1459</v>
      </c>
      <c r="D20" s="104" t="s">
        <v>1395</v>
      </c>
    </row>
    <row r="21" ht="15" customHeight="1" spans="1:4">
      <c r="A21" s="104">
        <v>3</v>
      </c>
      <c r="B21" s="104" t="s">
        <v>1396</v>
      </c>
      <c r="C21" s="104">
        <v>1692</v>
      </c>
      <c r="D21" s="104" t="s">
        <v>1397</v>
      </c>
    </row>
    <row r="22" ht="15" customHeight="1" spans="1:4">
      <c r="A22" s="104">
        <v>4</v>
      </c>
      <c r="B22" s="104" t="s">
        <v>1398</v>
      </c>
      <c r="C22" s="104">
        <v>1420</v>
      </c>
      <c r="D22" s="104" t="s">
        <v>1399</v>
      </c>
    </row>
    <row r="23" ht="15" customHeight="1" spans="1:4">
      <c r="A23" s="104">
        <v>5</v>
      </c>
      <c r="B23" s="104" t="s">
        <v>1400</v>
      </c>
      <c r="C23" s="104">
        <v>1521</v>
      </c>
      <c r="D23" s="104" t="s">
        <v>1401</v>
      </c>
    </row>
    <row r="24" ht="15" customHeight="1" spans="1:4">
      <c r="A24" s="104">
        <v>6</v>
      </c>
      <c r="B24" s="104" t="s">
        <v>1402</v>
      </c>
      <c r="C24" s="104">
        <v>1494</v>
      </c>
      <c r="D24" s="104" t="s">
        <v>1403</v>
      </c>
    </row>
    <row r="25" ht="15" customHeight="1" spans="1:4">
      <c r="A25" s="104">
        <v>7</v>
      </c>
      <c r="B25" s="104" t="s">
        <v>1404</v>
      </c>
      <c r="C25" s="104">
        <v>1468</v>
      </c>
      <c r="D25" s="104" t="s">
        <v>1405</v>
      </c>
    </row>
    <row r="26" ht="15" customHeight="1" spans="1:4">
      <c r="A26" s="104">
        <v>8</v>
      </c>
      <c r="B26" s="104" t="s">
        <v>1406</v>
      </c>
      <c r="C26" s="104">
        <v>1324</v>
      </c>
      <c r="D26" s="104" t="s">
        <v>1407</v>
      </c>
    </row>
    <row r="27" ht="15" customHeight="1" spans="1:4">
      <c r="A27" s="104">
        <v>9</v>
      </c>
      <c r="B27" s="104" t="s">
        <v>1408</v>
      </c>
      <c r="C27" s="104">
        <v>1463</v>
      </c>
      <c r="D27" s="104" t="s">
        <v>1409</v>
      </c>
    </row>
    <row r="28" ht="15" customHeight="1" spans="1:4">
      <c r="A28" s="104">
        <v>10</v>
      </c>
      <c r="B28" s="104" t="s">
        <v>1410</v>
      </c>
      <c r="C28" s="104">
        <v>1415</v>
      </c>
      <c r="D28" s="104" t="s">
        <v>1411</v>
      </c>
    </row>
    <row r="29" ht="15" customHeight="1" spans="1:4">
      <c r="A29" s="104">
        <v>11</v>
      </c>
      <c r="B29" s="104" t="s">
        <v>1412</v>
      </c>
      <c r="C29" s="104">
        <v>1396</v>
      </c>
      <c r="D29" s="104" t="s">
        <v>1413</v>
      </c>
    </row>
    <row r="30" ht="15" customHeight="1" spans="1:4">
      <c r="A30" s="104">
        <v>12</v>
      </c>
      <c r="B30" s="104" t="s">
        <v>1414</v>
      </c>
      <c r="C30" s="104">
        <v>1476</v>
      </c>
      <c r="D30" s="104" t="s">
        <v>1415</v>
      </c>
    </row>
    <row r="31" ht="15" customHeight="1" spans="1:4">
      <c r="A31" s="104">
        <v>13</v>
      </c>
      <c r="B31" s="104" t="s">
        <v>1416</v>
      </c>
      <c r="C31" s="104">
        <v>1378</v>
      </c>
      <c r="D31" s="104" t="s">
        <v>1417</v>
      </c>
    </row>
    <row r="32" ht="15" customHeight="1" spans="1:4">
      <c r="A32" s="104">
        <v>14</v>
      </c>
      <c r="B32" s="104" t="s">
        <v>1418</v>
      </c>
      <c r="C32" s="104">
        <v>1533</v>
      </c>
      <c r="D32" s="104" t="s">
        <v>1419</v>
      </c>
    </row>
    <row r="33" ht="15" customHeight="1" spans="1:4">
      <c r="A33" s="104">
        <v>15</v>
      </c>
      <c r="B33" s="104" t="s">
        <v>1420</v>
      </c>
      <c r="C33" s="104">
        <v>1496</v>
      </c>
      <c r="D33" s="104" t="s">
        <v>1421</v>
      </c>
    </row>
    <row r="34" ht="15" customHeight="1" spans="1:4">
      <c r="A34" s="104">
        <v>16</v>
      </c>
      <c r="B34" s="104" t="s">
        <v>1422</v>
      </c>
      <c r="C34" s="104">
        <v>1449</v>
      </c>
      <c r="D34" s="104" t="s">
        <v>1423</v>
      </c>
    </row>
    <row r="35" ht="15" customHeight="1" spans="1:4">
      <c r="A35" s="104">
        <v>17</v>
      </c>
      <c r="B35" s="104" t="s">
        <v>1424</v>
      </c>
      <c r="C35" s="104">
        <v>1495</v>
      </c>
      <c r="D35" s="104" t="s">
        <v>1425</v>
      </c>
    </row>
    <row r="36" ht="15" customHeight="1" spans="1:4">
      <c r="A36" s="104">
        <v>18</v>
      </c>
      <c r="B36" s="104" t="s">
        <v>1426</v>
      </c>
      <c r="C36" s="104">
        <v>1427</v>
      </c>
      <c r="D36" s="104" t="s">
        <v>1427</v>
      </c>
    </row>
    <row r="37" ht="15" customHeight="1" spans="1:4">
      <c r="A37" s="104">
        <v>19</v>
      </c>
      <c r="B37" s="104" t="s">
        <v>1428</v>
      </c>
      <c r="C37" s="104">
        <v>1398</v>
      </c>
      <c r="D37" s="104" t="s">
        <v>1429</v>
      </c>
    </row>
    <row r="38" ht="15" customHeight="1" spans="1:4">
      <c r="A38" s="104">
        <v>20</v>
      </c>
      <c r="B38" s="104" t="s">
        <v>1430</v>
      </c>
      <c r="C38" s="104">
        <v>1370</v>
      </c>
      <c r="D38" s="104" t="s">
        <v>1431</v>
      </c>
    </row>
    <row r="39" ht="15" customHeight="1" spans="1:4">
      <c r="A39" s="104">
        <v>21</v>
      </c>
      <c r="B39" s="104" t="s">
        <v>1432</v>
      </c>
      <c r="C39" s="104">
        <v>1336</v>
      </c>
      <c r="D39" s="104" t="s">
        <v>1433</v>
      </c>
    </row>
    <row r="40" ht="15" customHeight="1" spans="1:4">
      <c r="A40" s="104"/>
      <c r="B40" s="104"/>
      <c r="C40" s="104"/>
      <c r="D40" s="104"/>
    </row>
    <row r="41" ht="15" customHeight="1" spans="1:4">
      <c r="A41" s="104" t="s">
        <v>251</v>
      </c>
      <c r="B41" s="104"/>
      <c r="C41" s="104">
        <f>SUM(C19:C39)</f>
        <v>30585</v>
      </c>
      <c r="D41" s="104"/>
    </row>
    <row r="42" ht="15" customHeight="1" spans="1:4">
      <c r="A42" s="104"/>
      <c r="B42" s="104"/>
      <c r="C42" s="104"/>
      <c r="D42" s="104"/>
    </row>
    <row r="43" ht="15" customHeight="1" spans="1:4">
      <c r="A43" s="104"/>
      <c r="B43" s="104"/>
      <c r="C43" s="104"/>
      <c r="D43" s="104"/>
    </row>
    <row r="44" ht="15" customHeight="1" spans="1:4">
      <c r="A44" s="104" t="s">
        <v>252</v>
      </c>
      <c r="B44" s="104"/>
      <c r="C44" s="104"/>
      <c r="D44" s="105"/>
    </row>
    <row r="45" spans="1:4">
      <c r="A45" t="s">
        <v>253</v>
      </c>
    </row>
    <row r="46" spans="1:4">
      <c r="A46" t="s">
        <v>254</v>
      </c>
    </row>
    <row r="47" spans="1:4">
      <c r="A47" t="s">
        <v>255</v>
      </c>
      <c r="C47" t="s">
        <v>256</v>
      </c>
    </row>
    <row r="48" spans="1:4">
      <c r="A48" t="s">
        <v>257</v>
      </c>
      <c r="C48" t="s">
        <v>258</v>
      </c>
    </row>
  </sheetData>
  <mergeCells count="9">
    <mergeCell ref="A3:B3"/>
    <mergeCell ref="A4:B4"/>
    <mergeCell ref="A5:C5"/>
    <mergeCell ref="A6:D6"/>
    <mergeCell ref="A9:B9"/>
    <mergeCell ref="A40:C40"/>
    <mergeCell ref="A42:C42"/>
    <mergeCell ref="A1:D2"/>
    <mergeCell ref="C13:D14"/>
  </mergeCells>
  <pageMargins left="0.7" right="0.7" top="0.75" bottom="0.75" header="0.3" footer="0.3"/>
  <pageSetup paperSize="9" scale="96"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BP!B12</f>
        <v>EX202609-0506</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IF(BP!I12="","",BP!I12)</f>
        <v>VAN MO COMPANY LIMITED</v>
      </c>
      <c r="C16" s="62"/>
      <c r="D16" s="62"/>
      <c r="E16" s="62"/>
      <c r="F16" s="62"/>
      <c r="G16" s="62"/>
      <c r="H16" s="62"/>
    </row>
    <row r="17" s="41" customFormat="1" spans="1:8">
      <c r="A17" s="63" t="s">
        <v>196</v>
      </c>
      <c r="B17" s="63" t="str">
        <f>IF(BP!G12="","",BP!G12)</f>
        <v>OMARY HAMISI</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IF(BP!C12="","",BP!C12)</f>
        <v>T641EKD</v>
      </c>
      <c r="D19" s="66"/>
      <c r="F19" s="56"/>
      <c r="G19" s="62"/>
    </row>
    <row r="20" s="41" customFormat="1" ht="19.95" customHeight="1" spans="1:8">
      <c r="A20" s="63" t="s">
        <v>194</v>
      </c>
      <c r="B20" s="64"/>
      <c r="C20" s="65" t="str">
        <f>IF(BP!D12="","",BP!D12)</f>
        <v>T560EKD</v>
      </c>
      <c r="D20" s="66"/>
      <c r="E20" s="67" t="s">
        <v>1446</v>
      </c>
      <c r="F20" s="67"/>
      <c r="G20" s="62" t="str">
        <f>IF(BP!E12="","",BP!E12)</f>
        <v>NA</v>
      </c>
    </row>
    <row r="21" s="41" customFormat="1" ht="18" customHeight="1" spans="1:8">
      <c r="A21" s="63" t="s">
        <v>1447</v>
      </c>
      <c r="B21" s="50"/>
      <c r="C21" s="58" t="str">
        <f>IF(BP!F12="","",BP!F12)</f>
        <v>NA</v>
      </c>
      <c r="D21" s="68"/>
      <c r="E21" s="56"/>
      <c r="F21" s="56"/>
      <c r="G21" s="69"/>
      <c r="H21" s="69"/>
    </row>
    <row r="22" s="41" customFormat="1" ht="18" customHeight="1" spans="1:8">
      <c r="A22" s="62" t="s">
        <v>1448</v>
      </c>
      <c r="B22" s="50">
        <f>BP!K12</f>
        <v>22</v>
      </c>
      <c r="C22" s="65" t="s">
        <v>1449</v>
      </c>
      <c r="D22" s="70"/>
      <c r="E22" s="56"/>
      <c r="F22" s="71" t="s">
        <v>1450</v>
      </c>
      <c r="G22" s="72">
        <f>G23+B22*0.003</f>
        <v>30.719</v>
      </c>
      <c r="H22" s="56" t="s">
        <v>1451</v>
      </c>
    </row>
    <row r="23" s="41" customFormat="1" spans="1:8">
      <c r="B23" s="50"/>
      <c r="C23" s="65"/>
      <c r="D23" s="70"/>
      <c r="E23" s="56"/>
      <c r="F23" s="71" t="s">
        <v>1452</v>
      </c>
      <c r="G23" s="72">
        <f>'1装'!C42/1000</f>
        <v>30.653</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50859.76413</v>
      </c>
    </row>
    <row r="27" s="41" customFormat="1" spans="1:8">
      <c r="A27" s="56"/>
      <c r="B27" s="78"/>
      <c r="D27" s="78"/>
      <c r="F27" s="79"/>
      <c r="G27" s="80"/>
      <c r="H27" s="80"/>
    </row>
    <row r="28" s="41" customFormat="1" spans="1:8">
      <c r="A28" s="62" t="s">
        <v>1455</v>
      </c>
      <c r="B28" s="78"/>
      <c r="D28" s="56"/>
      <c r="F28" s="75" t="s">
        <v>1454</v>
      </c>
      <c r="G28" s="81">
        <v>35</v>
      </c>
      <c r="H28" s="75">
        <f>G28*G23</f>
        <v>1072.855</v>
      </c>
    </row>
    <row r="29" s="41" customFormat="1" spans="1:8">
      <c r="B29" s="78"/>
      <c r="D29" s="56"/>
      <c r="F29" s="82"/>
      <c r="G29" s="83"/>
      <c r="H29" s="83"/>
    </row>
    <row r="30" s="41" customFormat="1" spans="1:8">
      <c r="B30" s="78"/>
      <c r="D30" s="56" t="s">
        <v>1456</v>
      </c>
      <c r="F30" s="75" t="s">
        <v>1454</v>
      </c>
      <c r="G30" s="84">
        <f>G26*G23+H28</f>
        <v>51932.61913</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BP!B13</f>
        <v>EX202609-0507</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IF(BP!I13="","",BP!I13)</f>
        <v>VAN MO COMPANY LIMITED</v>
      </c>
      <c r="C16" s="62"/>
      <c r="D16" s="62"/>
      <c r="E16" s="62"/>
      <c r="F16" s="62"/>
      <c r="G16" s="62"/>
      <c r="H16" s="62"/>
    </row>
    <row r="17" s="41" customFormat="1" spans="1:8">
      <c r="A17" s="63" t="s">
        <v>196</v>
      </c>
      <c r="B17" s="63" t="str">
        <f>IF(BP!G13="","",BP!G13)</f>
        <v>IDDI IBRAHIMU</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IF(BP!C13="","",BP!C13)</f>
        <v>T963ERN</v>
      </c>
      <c r="D19" s="66"/>
      <c r="F19" s="56"/>
      <c r="G19" s="62"/>
    </row>
    <row r="20" s="41" customFormat="1" ht="19.95" customHeight="1" spans="1:8">
      <c r="A20" s="63" t="s">
        <v>194</v>
      </c>
      <c r="B20" s="64"/>
      <c r="C20" s="65" t="str">
        <f>IF(BP!D13="","",BP!D13)</f>
        <v>T918ERX</v>
      </c>
      <c r="D20" s="66"/>
      <c r="E20" s="67" t="s">
        <v>1446</v>
      </c>
      <c r="F20" s="67"/>
      <c r="G20" s="62" t="str">
        <f>IF(BP!E13="","",BP!E13)</f>
        <v>NA</v>
      </c>
    </row>
    <row r="21" s="41" customFormat="1" ht="18" customHeight="1" spans="1:8">
      <c r="A21" s="63" t="s">
        <v>1447</v>
      </c>
      <c r="B21" s="50"/>
      <c r="C21" s="58" t="str">
        <f>IF(BP!F13="","",BP!F13)</f>
        <v>NA</v>
      </c>
      <c r="D21" s="68"/>
      <c r="E21" s="56"/>
      <c r="F21" s="56"/>
      <c r="G21" s="69"/>
      <c r="H21" s="69"/>
    </row>
    <row r="22" s="41" customFormat="1" ht="18" customHeight="1" spans="1:8">
      <c r="A22" s="62" t="s">
        <v>1448</v>
      </c>
      <c r="B22" s="50">
        <f>BP!K13</f>
        <v>26</v>
      </c>
      <c r="C22" s="65" t="s">
        <v>1449</v>
      </c>
      <c r="D22" s="70"/>
      <c r="E22" s="56"/>
      <c r="F22" s="71" t="s">
        <v>1450</v>
      </c>
      <c r="G22" s="72">
        <f>G23+B22*0.003</f>
        <v>30.65</v>
      </c>
      <c r="H22" s="56" t="s">
        <v>1451</v>
      </c>
    </row>
    <row r="23" s="41" customFormat="1" spans="1:8">
      <c r="B23" s="50"/>
      <c r="C23" s="65"/>
      <c r="D23" s="70"/>
      <c r="E23" s="56"/>
      <c r="F23" s="71" t="s">
        <v>1452</v>
      </c>
      <c r="G23" s="72">
        <f>'2装'!C46/1000</f>
        <v>30.572</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50725.36812</v>
      </c>
    </row>
    <row r="27" s="41" customFormat="1" spans="1:8">
      <c r="A27" s="56"/>
      <c r="B27" s="78"/>
      <c r="D27" s="78"/>
      <c r="F27" s="79"/>
      <c r="G27" s="80"/>
      <c r="H27" s="80"/>
    </row>
    <row r="28" s="41" customFormat="1" spans="1:8">
      <c r="A28" s="62" t="s">
        <v>1455</v>
      </c>
      <c r="B28" s="78"/>
      <c r="D28" s="56"/>
      <c r="F28" s="75" t="s">
        <v>1454</v>
      </c>
      <c r="G28" s="81">
        <v>35</v>
      </c>
      <c r="H28" s="75">
        <f>G28*G23</f>
        <v>1070.02</v>
      </c>
    </row>
    <row r="29" s="41" customFormat="1" spans="1:8">
      <c r="B29" s="78"/>
      <c r="D29" s="56"/>
      <c r="F29" s="82"/>
      <c r="G29" s="83"/>
      <c r="H29" s="83"/>
    </row>
    <row r="30" s="41" customFormat="1" spans="1:8">
      <c r="B30" s="78"/>
      <c r="D30" s="56" t="s">
        <v>1456</v>
      </c>
      <c r="F30" s="75" t="s">
        <v>1454</v>
      </c>
      <c r="G30" s="84">
        <f>G26*G23+H28</f>
        <v>51795.38812</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BP!B14</f>
        <v>EX202609-0508</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IF(BP!I14="","",BP!I14)</f>
        <v>VAN MO COMPANY LIMITED</v>
      </c>
      <c r="C16" s="62"/>
      <c r="D16" s="62"/>
      <c r="E16" s="62"/>
      <c r="F16" s="62"/>
      <c r="G16" s="62"/>
      <c r="H16" s="62"/>
    </row>
    <row r="17" s="41" customFormat="1" spans="1:8">
      <c r="A17" s="63" t="s">
        <v>196</v>
      </c>
      <c r="B17" s="63" t="str">
        <f>IF(BP!G14="","",BP!G14)</f>
        <v>JOHN ANDREW</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IF(BP!C14="","",BP!C14)</f>
        <v>T688ERQ</v>
      </c>
      <c r="D19" s="66"/>
      <c r="F19" s="56"/>
      <c r="G19" s="62"/>
    </row>
    <row r="20" s="41" customFormat="1" ht="19.95" customHeight="1" spans="1:8">
      <c r="A20" s="63" t="s">
        <v>194</v>
      </c>
      <c r="B20" s="64"/>
      <c r="C20" s="65" t="str">
        <f>IF(BP!D14="","",BP!D14)</f>
        <v>T281ERY</v>
      </c>
      <c r="D20" s="66"/>
      <c r="E20" s="67" t="s">
        <v>1446</v>
      </c>
      <c r="F20" s="67"/>
      <c r="G20" s="62" t="str">
        <f>IF(BP!E14="","",BP!E14)</f>
        <v>NA</v>
      </c>
    </row>
    <row r="21" s="41" customFormat="1" ht="18" customHeight="1" spans="1:8">
      <c r="A21" s="63" t="s">
        <v>1447</v>
      </c>
      <c r="B21" s="50"/>
      <c r="C21" s="58" t="str">
        <f>IF(BP!F14="","",BP!F14)</f>
        <v>NA</v>
      </c>
      <c r="D21" s="68"/>
      <c r="E21" s="56"/>
      <c r="F21" s="56"/>
      <c r="G21" s="69"/>
      <c r="H21" s="69"/>
    </row>
    <row r="22" s="41" customFormat="1" ht="18" customHeight="1" spans="1:8">
      <c r="A22" s="62" t="s">
        <v>1448</v>
      </c>
      <c r="B22" s="50">
        <f>BP!K14</f>
        <v>23</v>
      </c>
      <c r="C22" s="65" t="s">
        <v>1449</v>
      </c>
      <c r="D22" s="70"/>
      <c r="E22" s="56"/>
      <c r="F22" s="71" t="s">
        <v>1450</v>
      </c>
      <c r="G22" s="72">
        <f>G23+B22*0.003</f>
        <v>30.65</v>
      </c>
      <c r="H22" s="56" t="s">
        <v>1451</v>
      </c>
    </row>
    <row r="23" s="41" customFormat="1" spans="1:8">
      <c r="B23" s="50"/>
      <c r="C23" s="65"/>
      <c r="D23" s="70"/>
      <c r="E23" s="56"/>
      <c r="F23" s="71" t="s">
        <v>1452</v>
      </c>
      <c r="G23" s="72">
        <f>'3装'!C43/1000</f>
        <v>30.581</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50740.30101</v>
      </c>
    </row>
    <row r="27" s="41" customFormat="1" spans="1:8">
      <c r="A27" s="56"/>
      <c r="B27" s="78"/>
      <c r="D27" s="78"/>
      <c r="F27" s="79"/>
      <c r="G27" s="80"/>
      <c r="H27" s="80"/>
    </row>
    <row r="28" s="41" customFormat="1" spans="1:8">
      <c r="A28" s="62" t="s">
        <v>1455</v>
      </c>
      <c r="B28" s="78"/>
      <c r="D28" s="56"/>
      <c r="F28" s="75" t="s">
        <v>1454</v>
      </c>
      <c r="G28" s="81">
        <v>35</v>
      </c>
      <c r="H28" s="75">
        <f>G28*G23</f>
        <v>1070.335</v>
      </c>
    </row>
    <row r="29" s="41" customFormat="1" spans="1:8">
      <c r="B29" s="78"/>
      <c r="D29" s="56"/>
      <c r="F29" s="82"/>
      <c r="G29" s="83"/>
      <c r="H29" s="83"/>
    </row>
    <row r="30" s="41" customFormat="1" spans="1:8">
      <c r="B30" s="78"/>
      <c r="D30" s="56" t="s">
        <v>1456</v>
      </c>
      <c r="F30" s="75" t="s">
        <v>1454</v>
      </c>
      <c r="G30" s="84">
        <f>G26*G23+H28</f>
        <v>51810.63601</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BP!B15</f>
        <v>EX202609-0509</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IF(BP!I15="","",BP!I15)</f>
        <v>IMPERIAL ROAD HAULAGE LTD</v>
      </c>
      <c r="C16" s="62"/>
      <c r="D16" s="62"/>
      <c r="E16" s="62"/>
      <c r="F16" s="62"/>
      <c r="G16" s="62"/>
      <c r="H16" s="62"/>
    </row>
    <row r="17" s="41" customFormat="1" spans="1:8">
      <c r="A17" s="63" t="s">
        <v>196</v>
      </c>
      <c r="B17" s="63" t="str">
        <f>IF(BP!G15="","",BP!G15)</f>
        <v>ALLY KITOSI</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IF(BP!C15="","",BP!C15)</f>
        <v>T615EFE</v>
      </c>
      <c r="D19" s="66"/>
      <c r="F19" s="56"/>
      <c r="G19" s="62"/>
    </row>
    <row r="20" s="41" customFormat="1" ht="19.95" customHeight="1" spans="1:8">
      <c r="A20" s="63" t="s">
        <v>194</v>
      </c>
      <c r="B20" s="64"/>
      <c r="C20" s="65" t="str">
        <f>IF(BP!D15="","",BP!D15)</f>
        <v>T881EFH</v>
      </c>
      <c r="D20" s="66"/>
      <c r="E20" s="67" t="s">
        <v>1446</v>
      </c>
      <c r="F20" s="67"/>
      <c r="G20" s="62" t="str">
        <f>IF(BP!E15="","",BP!E15)</f>
        <v>NA</v>
      </c>
    </row>
    <row r="21" s="41" customFormat="1" ht="18" customHeight="1" spans="1:8">
      <c r="A21" s="63" t="s">
        <v>1447</v>
      </c>
      <c r="B21" s="50"/>
      <c r="C21" s="58" t="str">
        <f>IF(BP!F15="","",BP!F15)</f>
        <v>NA</v>
      </c>
      <c r="D21" s="68"/>
      <c r="E21" s="56"/>
      <c r="F21" s="56"/>
      <c r="G21" s="69"/>
      <c r="H21" s="69"/>
    </row>
    <row r="22" s="41" customFormat="1" ht="18" customHeight="1" spans="1:8">
      <c r="A22" s="62" t="s">
        <v>1448</v>
      </c>
      <c r="B22" s="50">
        <f>BP!K15</f>
        <v>21</v>
      </c>
      <c r="C22" s="65" t="s">
        <v>1449</v>
      </c>
      <c r="D22" s="70"/>
      <c r="E22" s="56"/>
      <c r="F22" s="71" t="s">
        <v>1450</v>
      </c>
      <c r="G22" s="72">
        <f>G23+B22*0.003</f>
        <v>30.65</v>
      </c>
      <c r="H22" s="56" t="s">
        <v>1451</v>
      </c>
    </row>
    <row r="23" s="41" customFormat="1" spans="1:8">
      <c r="B23" s="50"/>
      <c r="C23" s="65"/>
      <c r="D23" s="70"/>
      <c r="E23" s="56"/>
      <c r="F23" s="71" t="s">
        <v>1452</v>
      </c>
      <c r="G23" s="72">
        <f>'4装'!C41/1000</f>
        <v>30.587</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50750.25627</v>
      </c>
    </row>
    <row r="27" s="41" customFormat="1" spans="1:8">
      <c r="A27" s="56"/>
      <c r="B27" s="78"/>
      <c r="D27" s="78"/>
      <c r="F27" s="79"/>
      <c r="G27" s="80"/>
      <c r="H27" s="80"/>
    </row>
    <row r="28" s="41" customFormat="1" spans="1:8">
      <c r="A28" s="62" t="s">
        <v>1455</v>
      </c>
      <c r="B28" s="78"/>
      <c r="D28" s="56"/>
      <c r="F28" s="75" t="s">
        <v>1454</v>
      </c>
      <c r="G28" s="81">
        <v>35</v>
      </c>
      <c r="H28" s="75">
        <f>G28*G23</f>
        <v>1070.545</v>
      </c>
    </row>
    <row r="29" s="41" customFormat="1" spans="1:8">
      <c r="B29" s="78"/>
      <c r="D29" s="56"/>
      <c r="F29" s="82"/>
      <c r="G29" s="83"/>
      <c r="H29" s="83"/>
    </row>
    <row r="30" s="41" customFormat="1" spans="1:8">
      <c r="B30" s="78"/>
      <c r="D30" s="56" t="s">
        <v>1456</v>
      </c>
      <c r="F30" s="75" t="s">
        <v>1454</v>
      </c>
      <c r="G30" s="84">
        <f>G26*G23+H28</f>
        <v>51820.80127</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BP!B16</f>
        <v>EX202609-0510</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IF(BP!I16="","",BP!I16)</f>
        <v>IMPERIAL ROAD HAULAGE LTD</v>
      </c>
      <c r="C16" s="62"/>
      <c r="D16" s="62"/>
      <c r="E16" s="62"/>
      <c r="F16" s="62"/>
      <c r="G16" s="62"/>
      <c r="H16" s="62"/>
    </row>
    <row r="17" s="41" customFormat="1" spans="1:8">
      <c r="A17" s="63" t="s">
        <v>196</v>
      </c>
      <c r="B17" s="63" t="str">
        <f>IF(BP!G16="","",BP!G16)</f>
        <v> NICHOLAUS LISAKAFU</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IF(BP!C16="","",BP!C16)</f>
        <v>T284EEY</v>
      </c>
      <c r="D19" s="66"/>
      <c r="F19" s="56"/>
      <c r="G19" s="62"/>
    </row>
    <row r="20" s="41" customFormat="1" ht="19.95" customHeight="1" spans="1:8">
      <c r="A20" s="63" t="s">
        <v>194</v>
      </c>
      <c r="B20" s="64"/>
      <c r="C20" s="65" t="str">
        <f>IF(BP!D16="","",BP!D16)</f>
        <v>T634EEZ</v>
      </c>
      <c r="D20" s="66"/>
      <c r="E20" s="67" t="s">
        <v>1446</v>
      </c>
      <c r="F20" s="67"/>
      <c r="G20" s="62" t="str">
        <f>IF(BP!E16="","",BP!E16)</f>
        <v>NA</v>
      </c>
    </row>
    <row r="21" s="41" customFormat="1" ht="18" customHeight="1" spans="1:8">
      <c r="A21" s="63" t="s">
        <v>1447</v>
      </c>
      <c r="B21" s="50"/>
      <c r="C21" s="58" t="str">
        <f>IF(BP!F16="","",BP!F16)</f>
        <v>NA</v>
      </c>
      <c r="D21" s="68"/>
      <c r="E21" s="56"/>
      <c r="F21" s="56"/>
      <c r="G21" s="69"/>
      <c r="H21" s="69"/>
    </row>
    <row r="22" s="41" customFormat="1" ht="18" customHeight="1" spans="1:8">
      <c r="A22" s="62" t="s">
        <v>1448</v>
      </c>
      <c r="B22" s="50">
        <f>BP!K16</f>
        <v>20</v>
      </c>
      <c r="C22" s="65" t="s">
        <v>1449</v>
      </c>
      <c r="D22" s="70"/>
      <c r="E22" s="56"/>
      <c r="F22" s="71" t="s">
        <v>1450</v>
      </c>
      <c r="G22" s="72">
        <f>G23+B22*0.003</f>
        <v>29.596</v>
      </c>
      <c r="H22" s="56" t="s">
        <v>1451</v>
      </c>
    </row>
    <row r="23" s="41" customFormat="1" spans="1:8">
      <c r="B23" s="50"/>
      <c r="C23" s="65"/>
      <c r="D23" s="70"/>
      <c r="E23" s="56"/>
      <c r="F23" s="71" t="s">
        <v>1452</v>
      </c>
      <c r="G23" s="72">
        <f>'5装'!C40/1000</f>
        <v>29.536</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49006.42656</v>
      </c>
    </row>
    <row r="27" s="41" customFormat="1" spans="1:8">
      <c r="A27" s="56"/>
      <c r="B27" s="78"/>
      <c r="D27" s="78"/>
      <c r="F27" s="79"/>
      <c r="G27" s="80"/>
      <c r="H27" s="80"/>
    </row>
    <row r="28" s="41" customFormat="1" spans="1:8">
      <c r="A28" s="62" t="s">
        <v>1455</v>
      </c>
      <c r="B28" s="78"/>
      <c r="D28" s="56"/>
      <c r="F28" s="75" t="s">
        <v>1454</v>
      </c>
      <c r="G28" s="81">
        <v>35</v>
      </c>
      <c r="H28" s="75">
        <f>G28*G23</f>
        <v>1033.76</v>
      </c>
    </row>
    <row r="29" s="41" customFormat="1" spans="1:8">
      <c r="B29" s="78"/>
      <c r="D29" s="56"/>
      <c r="F29" s="82"/>
      <c r="G29" s="83"/>
      <c r="H29" s="83"/>
    </row>
    <row r="30" s="41" customFormat="1" spans="1:8">
      <c r="B30" s="78"/>
      <c r="D30" s="56" t="s">
        <v>1456</v>
      </c>
      <c r="F30" s="75" t="s">
        <v>1454</v>
      </c>
      <c r="G30" s="84">
        <f>G26*G23+H28</f>
        <v>50040.18656</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BP!B17</f>
        <v>EX202609-0511</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IF(BP!I17="","",BP!I17)</f>
        <v>IMPERIAL ROAD HAULAGE LTD</v>
      </c>
      <c r="C16" s="62"/>
      <c r="D16" s="62"/>
      <c r="E16" s="62"/>
      <c r="F16" s="62"/>
      <c r="G16" s="62"/>
      <c r="H16" s="62"/>
    </row>
    <row r="17" s="41" customFormat="1" spans="1:8">
      <c r="A17" s="63" t="s">
        <v>196</v>
      </c>
      <c r="B17" s="63" t="str">
        <f>IF(BP!G17="","",BP!G17)</f>
        <v>MSANGI SULEMANI</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IF(BP!C17="","",BP!C17)</f>
        <v>T994EKU</v>
      </c>
      <c r="D19" s="66"/>
      <c r="F19" s="56"/>
      <c r="G19" s="62"/>
    </row>
    <row r="20" s="41" customFormat="1" ht="19.95" customHeight="1" spans="1:8">
      <c r="A20" s="63" t="s">
        <v>194</v>
      </c>
      <c r="B20" s="64"/>
      <c r="C20" s="65" t="str">
        <f>IF(BP!D17="","",BP!D17)</f>
        <v>T236EKS</v>
      </c>
      <c r="D20" s="66"/>
      <c r="E20" s="67" t="s">
        <v>1446</v>
      </c>
      <c r="F20" s="67"/>
      <c r="G20" s="62" t="str">
        <f>IF(BP!E17="","",BP!E17)</f>
        <v>NA</v>
      </c>
    </row>
    <row r="21" s="41" customFormat="1" ht="18" customHeight="1" spans="1:8">
      <c r="A21" s="63" t="s">
        <v>1447</v>
      </c>
      <c r="B21" s="50"/>
      <c r="C21" s="58" t="str">
        <f>IF(BP!F17="","",BP!F17)</f>
        <v>NA</v>
      </c>
      <c r="D21" s="68"/>
      <c r="E21" s="56"/>
      <c r="F21" s="56"/>
      <c r="G21" s="69"/>
      <c r="H21" s="69"/>
    </row>
    <row r="22" s="41" customFormat="1" ht="18" customHeight="1" spans="1:8">
      <c r="A22" s="62" t="s">
        <v>1448</v>
      </c>
      <c r="B22" s="50">
        <f>BP!K17</f>
        <v>22</v>
      </c>
      <c r="C22" s="65" t="s">
        <v>1449</v>
      </c>
      <c r="D22" s="70"/>
      <c r="E22" s="56"/>
      <c r="F22" s="71" t="s">
        <v>1450</v>
      </c>
      <c r="G22" s="72">
        <f>G23+B22*0.003</f>
        <v>31.693</v>
      </c>
      <c r="H22" s="56" t="s">
        <v>1451</v>
      </c>
    </row>
    <row r="23" s="41" customFormat="1" spans="1:8">
      <c r="B23" s="50"/>
      <c r="C23" s="65"/>
      <c r="D23" s="70"/>
      <c r="E23" s="56"/>
      <c r="F23" s="71" t="s">
        <v>1452</v>
      </c>
      <c r="G23" s="72">
        <f>'6装'!C42/1000</f>
        <v>31.627</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52475.83467</v>
      </c>
    </row>
    <row r="27" s="41" customFormat="1" spans="1:8">
      <c r="A27" s="56"/>
      <c r="B27" s="78"/>
      <c r="D27" s="78"/>
      <c r="F27" s="79"/>
      <c r="G27" s="80"/>
      <c r="H27" s="80"/>
    </row>
    <row r="28" s="41" customFormat="1" spans="1:8">
      <c r="A28" s="62" t="s">
        <v>1455</v>
      </c>
      <c r="B28" s="78"/>
      <c r="D28" s="56"/>
      <c r="F28" s="75" t="s">
        <v>1454</v>
      </c>
      <c r="G28" s="81">
        <v>35</v>
      </c>
      <c r="H28" s="75">
        <f>G28*G23</f>
        <v>1106.945</v>
      </c>
    </row>
    <row r="29" s="41" customFormat="1" spans="1:8">
      <c r="B29" s="78"/>
      <c r="D29" s="56"/>
      <c r="F29" s="82"/>
      <c r="G29" s="83"/>
      <c r="H29" s="83"/>
    </row>
    <row r="30" s="41" customFormat="1" spans="1:8">
      <c r="B30" s="78"/>
      <c r="D30" s="56" t="s">
        <v>1456</v>
      </c>
      <c r="F30" s="75" t="s">
        <v>1454</v>
      </c>
      <c r="G30" s="84">
        <f>G26*G23+H28</f>
        <v>53582.77967</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BP!B18</f>
        <v>EX202609-0512</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IF(BP!I18="","",BP!I18)</f>
        <v>GREENDOOR GROUP (PTY) LTD</v>
      </c>
      <c r="C16" s="62"/>
      <c r="D16" s="62"/>
      <c r="E16" s="62"/>
      <c r="F16" s="62"/>
      <c r="G16" s="62"/>
      <c r="H16" s="62"/>
    </row>
    <row r="17" s="41" customFormat="1" spans="1:8">
      <c r="A17" s="63" t="s">
        <v>196</v>
      </c>
      <c r="B17" s="63" t="str">
        <f>IF(BP!G18="","",BP!G18)</f>
        <v>GRESTEN MWEEMBA</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IF(BP!C18="","",BP!C18)</f>
        <v>FWH557L</v>
      </c>
      <c r="D19" s="66"/>
      <c r="F19" s="56"/>
      <c r="G19" s="62"/>
    </row>
    <row r="20" s="41" customFormat="1" ht="19.95" customHeight="1" spans="1:8">
      <c r="A20" s="63" t="s">
        <v>194</v>
      </c>
      <c r="B20" s="64"/>
      <c r="C20" s="65" t="str">
        <f>IF(BP!D18="","",BP!D18)</f>
        <v>FPC417L</v>
      </c>
      <c r="D20" s="66"/>
      <c r="E20" s="67" t="s">
        <v>1446</v>
      </c>
      <c r="F20" s="67"/>
      <c r="G20" s="62" t="str">
        <f>IF(BP!E18="","",BP!E18)</f>
        <v>FPC421L</v>
      </c>
    </row>
    <row r="21" s="41" customFormat="1" ht="18" customHeight="1" spans="1:8">
      <c r="A21" s="63" t="s">
        <v>1447</v>
      </c>
      <c r="B21" s="50"/>
      <c r="C21" s="58" t="str">
        <f>IF(BP!F18="","",BP!F18)</f>
        <v>NA</v>
      </c>
      <c r="D21" s="68"/>
      <c r="E21" s="56"/>
      <c r="F21" s="56"/>
      <c r="G21" s="69"/>
      <c r="H21" s="69"/>
    </row>
    <row r="22" s="41" customFormat="1" ht="18" customHeight="1" spans="1:8">
      <c r="A22" s="62" t="s">
        <v>1448</v>
      </c>
      <c r="B22" s="50">
        <f>BP!K18</f>
        <v>24</v>
      </c>
      <c r="C22" s="65" t="s">
        <v>1449</v>
      </c>
      <c r="D22" s="70"/>
      <c r="E22" s="56"/>
      <c r="F22" s="71" t="s">
        <v>1450</v>
      </c>
      <c r="G22" s="72">
        <f>G23+B22*0.003</f>
        <v>33.655</v>
      </c>
      <c r="H22" s="56" t="s">
        <v>1451</v>
      </c>
    </row>
    <row r="23" s="41" customFormat="1" spans="1:8">
      <c r="B23" s="50"/>
      <c r="C23" s="65"/>
      <c r="D23" s="70"/>
      <c r="E23" s="56"/>
      <c r="F23" s="71" t="s">
        <v>1452</v>
      </c>
      <c r="G23" s="72">
        <f>'7装'!C44/1000</f>
        <v>33.583</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55721.24943</v>
      </c>
    </row>
    <row r="27" s="41" customFormat="1" spans="1:8">
      <c r="A27" s="56"/>
      <c r="B27" s="78"/>
      <c r="D27" s="78"/>
      <c r="F27" s="79"/>
      <c r="G27" s="80"/>
      <c r="H27" s="80"/>
    </row>
    <row r="28" s="41" customFormat="1" spans="1:8">
      <c r="A28" s="62" t="s">
        <v>1455</v>
      </c>
      <c r="B28" s="78"/>
      <c r="D28" s="56"/>
      <c r="F28" s="75" t="s">
        <v>1454</v>
      </c>
      <c r="G28" s="81">
        <v>35</v>
      </c>
      <c r="H28" s="75">
        <f>G28*G23</f>
        <v>1175.405</v>
      </c>
    </row>
    <row r="29" s="41" customFormat="1" spans="1:8">
      <c r="B29" s="78"/>
      <c r="D29" s="56"/>
      <c r="F29" s="82"/>
      <c r="G29" s="83"/>
      <c r="H29" s="83"/>
    </row>
    <row r="30" s="41" customFormat="1" spans="1:8">
      <c r="B30" s="78"/>
      <c r="D30" s="56" t="s">
        <v>1456</v>
      </c>
      <c r="F30" s="75" t="s">
        <v>1454</v>
      </c>
      <c r="G30" s="84">
        <f>G26*G23+H28</f>
        <v>56896.65443</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BP!B19</f>
        <v>EX202609-0513</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IF(BP!I19="","",BP!I19)</f>
        <v>GREENDOOR GROUP (PTY) LTD</v>
      </c>
      <c r="C16" s="62"/>
      <c r="D16" s="62"/>
      <c r="E16" s="62"/>
      <c r="F16" s="62"/>
      <c r="G16" s="62"/>
      <c r="H16" s="62"/>
    </row>
    <row r="17" s="41" customFormat="1" spans="1:8">
      <c r="A17" s="63" t="s">
        <v>196</v>
      </c>
      <c r="B17" s="63" t="str">
        <f>IF(BP!G19="","",BP!G19)</f>
        <v>BRIGHT FUNDA</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IF(BP!C19="","",BP!C19)</f>
        <v>FPV477L</v>
      </c>
      <c r="D19" s="66"/>
      <c r="F19" s="56"/>
      <c r="G19" s="62"/>
    </row>
    <row r="20" s="41" customFormat="1" ht="19.95" customHeight="1" spans="1:8">
      <c r="A20" s="63" t="s">
        <v>194</v>
      </c>
      <c r="B20" s="64"/>
      <c r="C20" s="65" t="str">
        <f>IF(BP!D19="","",BP!D19)</f>
        <v>FMG170L</v>
      </c>
      <c r="D20" s="66"/>
      <c r="E20" s="67" t="s">
        <v>1446</v>
      </c>
      <c r="F20" s="67"/>
      <c r="G20" s="62" t="str">
        <f>IF(BP!E19="","",BP!E19)</f>
        <v>FMG167L</v>
      </c>
    </row>
    <row r="21" s="41" customFormat="1" ht="18" customHeight="1" spans="1:8">
      <c r="A21" s="63" t="s">
        <v>1447</v>
      </c>
      <c r="B21" s="50"/>
      <c r="C21" s="58" t="str">
        <f>IF(BP!F19="","",BP!F19)</f>
        <v>NA</v>
      </c>
      <c r="D21" s="68"/>
      <c r="E21" s="56"/>
      <c r="F21" s="56"/>
      <c r="G21" s="69"/>
      <c r="H21" s="69"/>
    </row>
    <row r="22" s="41" customFormat="1" ht="18" customHeight="1" spans="1:8">
      <c r="A22" s="62" t="s">
        <v>1448</v>
      </c>
      <c r="B22" s="50">
        <f>BP!K19</f>
        <v>24</v>
      </c>
      <c r="C22" s="65" t="s">
        <v>1449</v>
      </c>
      <c r="D22" s="70"/>
      <c r="E22" s="56"/>
      <c r="F22" s="71" t="s">
        <v>1450</v>
      </c>
      <c r="G22" s="72">
        <f>G23+B22*0.003</f>
        <v>33.648</v>
      </c>
      <c r="H22" s="56" t="s">
        <v>1451</v>
      </c>
    </row>
    <row r="23" s="41" customFormat="1" spans="1:8">
      <c r="B23" s="50"/>
      <c r="C23" s="65"/>
      <c r="D23" s="70"/>
      <c r="E23" s="56"/>
      <c r="F23" s="71" t="s">
        <v>1452</v>
      </c>
      <c r="G23" s="72">
        <f>'8装'!C44/1000</f>
        <v>33.576</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55709.63496</v>
      </c>
    </row>
    <row r="27" s="41" customFormat="1" spans="1:8">
      <c r="A27" s="56"/>
      <c r="B27" s="78"/>
      <c r="D27" s="78"/>
      <c r="F27" s="79"/>
      <c r="G27" s="80"/>
      <c r="H27" s="80"/>
    </row>
    <row r="28" s="41" customFormat="1" spans="1:8">
      <c r="A28" s="62" t="s">
        <v>1455</v>
      </c>
      <c r="B28" s="78"/>
      <c r="D28" s="56"/>
      <c r="F28" s="75" t="s">
        <v>1454</v>
      </c>
      <c r="G28" s="81">
        <v>35</v>
      </c>
      <c r="H28" s="75">
        <f>G28*G23</f>
        <v>1175.16</v>
      </c>
    </row>
    <row r="29" s="41" customFormat="1" spans="1:8">
      <c r="B29" s="78"/>
      <c r="D29" s="56"/>
      <c r="F29" s="82"/>
      <c r="G29" s="83"/>
      <c r="H29" s="83"/>
    </row>
    <row r="30" s="41" customFormat="1" spans="1:8">
      <c r="B30" s="78"/>
      <c r="D30" s="56" t="s">
        <v>1456</v>
      </c>
      <c r="F30" s="75" t="s">
        <v>1454</v>
      </c>
      <c r="G30" s="84">
        <f>G26*G23+H28</f>
        <v>56884.79496</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BP!B20</f>
        <v>EX202609-0514</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IF(BP!I20="","",BP!I20)</f>
        <v>C.STEINWEG BRIDGE (PTY) LTD</v>
      </c>
      <c r="C16" s="62"/>
      <c r="D16" s="62"/>
      <c r="E16" s="62"/>
      <c r="F16" s="62"/>
      <c r="G16" s="62"/>
      <c r="H16" s="62"/>
    </row>
    <row r="17" s="41" customFormat="1" spans="1:8">
      <c r="A17" s="63" t="s">
        <v>196</v>
      </c>
      <c r="B17" s="63" t="str">
        <f>IF(BP!G20="","",BP!G20)</f>
        <v>MASHIKU JEREMIAH</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IF(BP!C20="","",BP!C20)</f>
        <v>T574ECB</v>
      </c>
      <c r="D19" s="66"/>
      <c r="F19" s="56"/>
      <c r="G19" s="62"/>
    </row>
    <row r="20" s="41" customFormat="1" ht="19.95" customHeight="1" spans="1:8">
      <c r="A20" s="63" t="s">
        <v>194</v>
      </c>
      <c r="B20" s="64"/>
      <c r="C20" s="65" t="str">
        <f>IF(BP!D20="","",BP!D20)</f>
        <v>T185BDN</v>
      </c>
      <c r="D20" s="66"/>
      <c r="E20" s="67" t="s">
        <v>1446</v>
      </c>
      <c r="F20" s="67"/>
      <c r="G20" s="62" t="str">
        <f>IF(BP!E20="","",BP!E20)</f>
        <v>T232DTC</v>
      </c>
    </row>
    <row r="21" s="41" customFormat="1" ht="18" customHeight="1" spans="1:8">
      <c r="A21" s="63" t="s">
        <v>1447</v>
      </c>
      <c r="B21" s="50"/>
      <c r="C21" s="58" t="str">
        <f>IF(BP!F20="","",BP!F20)</f>
        <v>NA</v>
      </c>
      <c r="D21" s="68"/>
      <c r="E21" s="56"/>
      <c r="F21" s="56"/>
      <c r="G21" s="69"/>
      <c r="H21" s="69"/>
    </row>
    <row r="22" s="41" customFormat="1" ht="18" customHeight="1" spans="1:8">
      <c r="A22" s="62" t="s">
        <v>1448</v>
      </c>
      <c r="B22" s="50">
        <f>BP!K20</f>
        <v>24</v>
      </c>
      <c r="C22" s="65" t="s">
        <v>1449</v>
      </c>
      <c r="D22" s="70"/>
      <c r="E22" s="56"/>
      <c r="F22" s="71" t="s">
        <v>1450</v>
      </c>
      <c r="G22" s="72">
        <f>G23+B22*0.003</f>
        <v>33.833</v>
      </c>
      <c r="H22" s="56" t="s">
        <v>1451</v>
      </c>
    </row>
    <row r="23" s="41" customFormat="1" spans="1:8">
      <c r="B23" s="50"/>
      <c r="C23" s="65"/>
      <c r="D23" s="70"/>
      <c r="E23" s="56"/>
      <c r="F23" s="71" t="s">
        <v>1452</v>
      </c>
      <c r="G23" s="72">
        <f>'9装'!C44/1000</f>
        <v>33.761</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56016.58881</v>
      </c>
    </row>
    <row r="27" s="41" customFormat="1" spans="1:8">
      <c r="A27" s="56"/>
      <c r="B27" s="78"/>
      <c r="D27" s="78"/>
      <c r="F27" s="79"/>
      <c r="G27" s="80"/>
      <c r="H27" s="80"/>
    </row>
    <row r="28" s="41" customFormat="1" spans="1:8">
      <c r="A28" s="62" t="s">
        <v>1455</v>
      </c>
      <c r="B28" s="78"/>
      <c r="D28" s="56"/>
      <c r="F28" s="75" t="s">
        <v>1454</v>
      </c>
      <c r="G28" s="81">
        <v>35</v>
      </c>
      <c r="H28" s="75">
        <f>G28*G23</f>
        <v>1181.635</v>
      </c>
    </row>
    <row r="29" s="41" customFormat="1" spans="1:8">
      <c r="B29" s="78"/>
      <c r="D29" s="56"/>
      <c r="F29" s="82"/>
      <c r="G29" s="83"/>
      <c r="H29" s="83"/>
    </row>
    <row r="30" s="41" customFormat="1" spans="1:8">
      <c r="B30" s="78"/>
      <c r="D30" s="56" t="s">
        <v>1456</v>
      </c>
      <c r="F30" s="75" t="s">
        <v>1454</v>
      </c>
      <c r="G30" s="84">
        <f>G26*G23+H28</f>
        <v>57198.22381</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BP!B21</f>
        <v>EX202609-0515</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IF(BP!I21="","",BP!I21)</f>
        <v>C.STEINWEG BRIDGE (PTY) LTD</v>
      </c>
      <c r="C16" s="62"/>
      <c r="D16" s="62"/>
      <c r="E16" s="62"/>
      <c r="F16" s="62"/>
      <c r="G16" s="62"/>
      <c r="H16" s="62"/>
    </row>
    <row r="17" s="41" customFormat="1" spans="1:8">
      <c r="A17" s="63" t="s">
        <v>196</v>
      </c>
      <c r="B17" s="63" t="str">
        <f>IF(BP!G21="","",BP!G21)</f>
        <v>MIKAEHAEL CHARLES</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IF(BP!C21="","",BP!C21)</f>
        <v>T174DYN</v>
      </c>
      <c r="D19" s="66"/>
      <c r="F19" s="56"/>
      <c r="G19" s="62"/>
    </row>
    <row r="20" s="41" customFormat="1" ht="19.95" customHeight="1" spans="1:8">
      <c r="A20" s="63" t="s">
        <v>194</v>
      </c>
      <c r="B20" s="64"/>
      <c r="C20" s="65" t="str">
        <f>IF(BP!D21="","",BP!D21)</f>
        <v>T345BSA</v>
      </c>
      <c r="D20" s="66"/>
      <c r="E20" s="67" t="s">
        <v>1446</v>
      </c>
      <c r="F20" s="67"/>
      <c r="G20" s="62" t="str">
        <f>IF(BP!E21="","",BP!E21)</f>
        <v>T254EKH</v>
      </c>
    </row>
    <row r="21" s="41" customFormat="1" ht="18" customHeight="1" spans="1:8">
      <c r="A21" s="63" t="s">
        <v>1447</v>
      </c>
      <c r="B21" s="50"/>
      <c r="C21" s="58" t="str">
        <f>IF(BP!F21="","",BP!F21)</f>
        <v>NA</v>
      </c>
      <c r="D21" s="68"/>
      <c r="E21" s="56"/>
      <c r="F21" s="56"/>
      <c r="G21" s="69"/>
      <c r="H21" s="69"/>
    </row>
    <row r="22" s="41" customFormat="1" ht="18" customHeight="1" spans="1:8">
      <c r="A22" s="62" t="s">
        <v>1448</v>
      </c>
      <c r="B22" s="50">
        <f>BP!K21</f>
        <v>25</v>
      </c>
      <c r="C22" s="65" t="s">
        <v>1449</v>
      </c>
      <c r="D22" s="70"/>
      <c r="E22" s="56"/>
      <c r="F22" s="71" t="s">
        <v>1450</v>
      </c>
      <c r="G22" s="72">
        <f>G23+B22*0.003</f>
        <v>34.625</v>
      </c>
      <c r="H22" s="56" t="s">
        <v>1451</v>
      </c>
    </row>
    <row r="23" s="41" customFormat="1" spans="1:8">
      <c r="B23" s="50"/>
      <c r="C23" s="65"/>
      <c r="D23" s="70"/>
      <c r="E23" s="56"/>
      <c r="F23" s="71" t="s">
        <v>1452</v>
      </c>
      <c r="G23" s="72">
        <f>'10装'!C45/1000</f>
        <v>34.55</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57325.7055</v>
      </c>
    </row>
    <row r="27" s="41" customFormat="1" spans="1:8">
      <c r="A27" s="56"/>
      <c r="B27" s="78"/>
      <c r="D27" s="78"/>
      <c r="F27" s="79"/>
      <c r="G27" s="80"/>
      <c r="H27" s="80"/>
    </row>
    <row r="28" s="41" customFormat="1" spans="1:8">
      <c r="A28" s="62" t="s">
        <v>1455</v>
      </c>
      <c r="B28" s="78"/>
      <c r="D28" s="56"/>
      <c r="F28" s="75" t="s">
        <v>1454</v>
      </c>
      <c r="G28" s="81">
        <v>35</v>
      </c>
      <c r="H28" s="75">
        <f>G28*G23</f>
        <v>1209.25</v>
      </c>
    </row>
    <row r="29" s="41" customFormat="1" spans="1:8">
      <c r="B29" s="78"/>
      <c r="D29" s="56"/>
      <c r="F29" s="82"/>
      <c r="G29" s="83"/>
      <c r="H29" s="83"/>
    </row>
    <row r="30" s="41" customFormat="1" spans="1:8">
      <c r="B30" s="78"/>
      <c r="D30" s="56" t="s">
        <v>1456</v>
      </c>
      <c r="F30" s="75" t="s">
        <v>1454</v>
      </c>
      <c r="G30" s="84">
        <f>G26*G23+H28</f>
        <v>58534.9555</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BP!B22</f>
        <v>EX202609-0516</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IF(BP!I22="","",BP!I22)</f>
        <v>C.STEINWEG BRIDGE (PTY) LTD</v>
      </c>
      <c r="C16" s="62"/>
      <c r="D16" s="62"/>
      <c r="E16" s="62"/>
      <c r="F16" s="62"/>
      <c r="G16" s="62"/>
      <c r="H16" s="62"/>
    </row>
    <row r="17" s="41" customFormat="1" spans="1:8">
      <c r="A17" s="63" t="s">
        <v>196</v>
      </c>
      <c r="B17" s="63" t="str">
        <f>IF(BP!G22="","",BP!G22)</f>
        <v>HASSAN NGUZO</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IF(BP!C22="","",BP!C22)</f>
        <v>T593EAL</v>
      </c>
      <c r="D19" s="66"/>
      <c r="F19" s="56"/>
      <c r="G19" s="62"/>
    </row>
    <row r="20" s="41" customFormat="1" ht="19.95" customHeight="1" spans="1:8">
      <c r="A20" s="63" t="s">
        <v>194</v>
      </c>
      <c r="B20" s="64"/>
      <c r="C20" s="65" t="str">
        <f>IF(BP!D22="","",BP!D22)</f>
        <v>T147BGL</v>
      </c>
      <c r="D20" s="66"/>
      <c r="E20" s="67" t="s">
        <v>1446</v>
      </c>
      <c r="F20" s="67"/>
      <c r="G20" s="62" t="str">
        <f>IF(BP!E22="","",BP!E22)</f>
        <v>T726EGF</v>
      </c>
    </row>
    <row r="21" s="41" customFormat="1" ht="18" customHeight="1" spans="1:8">
      <c r="A21" s="63" t="s">
        <v>1447</v>
      </c>
      <c r="B21" s="50"/>
      <c r="C21" s="58" t="str">
        <f>IF(BP!F22="","",BP!F22)</f>
        <v>NA</v>
      </c>
      <c r="D21" s="68"/>
      <c r="E21" s="56"/>
      <c r="F21" s="56"/>
      <c r="G21" s="69"/>
      <c r="H21" s="69"/>
    </row>
    <row r="22" s="41" customFormat="1" ht="18" customHeight="1" spans="1:8">
      <c r="A22" s="62" t="s">
        <v>1448</v>
      </c>
      <c r="B22" s="50">
        <f>BP!K22</f>
        <v>25</v>
      </c>
      <c r="C22" s="65" t="s">
        <v>1449</v>
      </c>
      <c r="D22" s="70"/>
      <c r="E22" s="56"/>
      <c r="F22" s="71" t="s">
        <v>1450</v>
      </c>
      <c r="G22" s="72">
        <f>G23+B22*0.003</f>
        <v>34.678</v>
      </c>
      <c r="H22" s="56" t="s">
        <v>1451</v>
      </c>
    </row>
    <row r="23" s="41" customFormat="1" spans="1:8">
      <c r="B23" s="50"/>
      <c r="C23" s="65"/>
      <c r="D23" s="70"/>
      <c r="E23" s="56"/>
      <c r="F23" s="71" t="s">
        <v>1452</v>
      </c>
      <c r="G23" s="72">
        <f>'11装'!C45/1000</f>
        <v>34.603</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57413.64363</v>
      </c>
    </row>
    <row r="27" s="41" customFormat="1" spans="1:8">
      <c r="A27" s="56"/>
      <c r="B27" s="78"/>
      <c r="D27" s="78"/>
      <c r="F27" s="79"/>
      <c r="G27" s="80"/>
      <c r="H27" s="80"/>
    </row>
    <row r="28" s="41" customFormat="1" spans="1:8">
      <c r="A28" s="62" t="s">
        <v>1455</v>
      </c>
      <c r="B28" s="78"/>
      <c r="D28" s="56"/>
      <c r="F28" s="75" t="s">
        <v>1454</v>
      </c>
      <c r="G28" s="81">
        <v>35</v>
      </c>
      <c r="H28" s="75">
        <f>G28*G23</f>
        <v>1211.105</v>
      </c>
    </row>
    <row r="29" s="41" customFormat="1" spans="1:8">
      <c r="B29" s="78"/>
      <c r="D29" s="56"/>
      <c r="F29" s="82"/>
      <c r="G29" s="83"/>
      <c r="H29" s="83"/>
    </row>
    <row r="30" s="41" customFormat="1" spans="1:8">
      <c r="B30" s="78"/>
      <c r="D30" s="56" t="s">
        <v>1456</v>
      </c>
      <c r="F30" s="75" t="s">
        <v>1454</v>
      </c>
      <c r="G30" s="84">
        <f>G26*G23+H28</f>
        <v>58624.74863</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BP!B23</f>
        <v>EX202609-0517</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IF(BP!I23="","",BP!I23)</f>
        <v>C.STEINWEG BRIDGE (PTY) LTD</v>
      </c>
      <c r="C16" s="62"/>
      <c r="D16" s="62"/>
      <c r="E16" s="62"/>
      <c r="F16" s="62"/>
      <c r="G16" s="62"/>
      <c r="H16" s="62"/>
    </row>
    <row r="17" s="41" customFormat="1" spans="1:8">
      <c r="A17" s="63" t="s">
        <v>196</v>
      </c>
      <c r="B17" s="63" t="str">
        <f>IF(BP!G23="","",BP!G23)</f>
        <v>MICHAEL</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IF(BP!C23="","",BP!C23)</f>
        <v>T546ELH</v>
      </c>
      <c r="D19" s="66"/>
      <c r="F19" s="56"/>
      <c r="G19" s="62"/>
    </row>
    <row r="20" s="41" customFormat="1" ht="19.95" customHeight="1" spans="1:8">
      <c r="A20" s="63" t="s">
        <v>194</v>
      </c>
      <c r="B20" s="64"/>
      <c r="C20" s="65" t="str">
        <f>IF(BP!D23="","",BP!D23)</f>
        <v>T993DAU</v>
      </c>
      <c r="D20" s="66"/>
      <c r="E20" s="67" t="s">
        <v>1446</v>
      </c>
      <c r="F20" s="67"/>
      <c r="G20" s="62" t="str">
        <f>IF(BP!E23="","",BP!E23)</f>
        <v>T228DTC</v>
      </c>
    </row>
    <row r="21" s="41" customFormat="1" ht="18" customHeight="1" spans="1:8">
      <c r="A21" s="63" t="s">
        <v>1447</v>
      </c>
      <c r="B21" s="50"/>
      <c r="C21" s="58" t="str">
        <f>IF(BP!F23="","",BP!F23)</f>
        <v>NA</v>
      </c>
      <c r="D21" s="68"/>
      <c r="E21" s="56"/>
      <c r="F21" s="56"/>
      <c r="G21" s="69"/>
      <c r="H21" s="69"/>
    </row>
    <row r="22" s="41" customFormat="1" ht="18" customHeight="1" spans="1:8">
      <c r="A22" s="62" t="s">
        <v>1448</v>
      </c>
      <c r="B22" s="50">
        <f>BP!K23</f>
        <v>24</v>
      </c>
      <c r="C22" s="65" t="s">
        <v>1449</v>
      </c>
      <c r="D22" s="70"/>
      <c r="E22" s="56"/>
      <c r="F22" s="71" t="s">
        <v>1450</v>
      </c>
      <c r="G22" s="72">
        <f>G23+B22*0.003</f>
        <v>33.815</v>
      </c>
      <c r="H22" s="56" t="s">
        <v>1451</v>
      </c>
    </row>
    <row r="23" s="41" customFormat="1" spans="1:8">
      <c r="B23" s="50"/>
      <c r="C23" s="65"/>
      <c r="D23" s="70"/>
      <c r="E23" s="56"/>
      <c r="F23" s="71" t="s">
        <v>1452</v>
      </c>
      <c r="G23" s="72">
        <f>'12装'!C44/1000</f>
        <v>33.743</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55986.72303</v>
      </c>
    </row>
    <row r="27" s="41" customFormat="1" spans="1:8">
      <c r="A27" s="56"/>
      <c r="B27" s="78"/>
      <c r="D27" s="78"/>
      <c r="F27" s="79"/>
      <c r="G27" s="80"/>
      <c r="H27" s="80"/>
    </row>
    <row r="28" s="41" customFormat="1" spans="1:8">
      <c r="A28" s="62" t="s">
        <v>1455</v>
      </c>
      <c r="B28" s="78"/>
      <c r="D28" s="56"/>
      <c r="F28" s="75" t="s">
        <v>1454</v>
      </c>
      <c r="G28" s="81">
        <v>35</v>
      </c>
      <c r="H28" s="75">
        <f>G28*G23</f>
        <v>1181.005</v>
      </c>
    </row>
    <row r="29" s="41" customFormat="1" spans="1:8">
      <c r="B29" s="78"/>
      <c r="D29" s="56"/>
      <c r="F29" s="82"/>
      <c r="G29" s="83"/>
      <c r="H29" s="83"/>
    </row>
    <row r="30" s="41" customFormat="1" spans="1:8">
      <c r="B30" s="78"/>
      <c r="D30" s="56" t="s">
        <v>1456</v>
      </c>
      <c r="F30" s="75" t="s">
        <v>1454</v>
      </c>
      <c r="G30" s="84">
        <f>G26*G23+H28</f>
        <v>57167.72803</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BP!B24</f>
        <v>EX202609-0518</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IF(BP!I24="","",BP!I24)</f>
        <v>C.STEINWEG BRIDGE (PTY) LTD</v>
      </c>
      <c r="C16" s="62"/>
      <c r="D16" s="62"/>
      <c r="E16" s="62"/>
      <c r="F16" s="62"/>
      <c r="G16" s="62"/>
      <c r="H16" s="62"/>
    </row>
    <row r="17" s="41" customFormat="1" spans="1:8">
      <c r="A17" s="63" t="s">
        <v>196</v>
      </c>
      <c r="B17" s="63" t="str">
        <f>IF(BP!G24="","",BP!G24)</f>
        <v>ALEX PETER</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IF(BP!C24="","",BP!C24)</f>
        <v>T407DNB</v>
      </c>
      <c r="D19" s="66"/>
      <c r="F19" s="56"/>
      <c r="G19" s="62"/>
    </row>
    <row r="20" s="41" customFormat="1" ht="19.95" customHeight="1" spans="1:8">
      <c r="A20" s="63" t="s">
        <v>194</v>
      </c>
      <c r="B20" s="64"/>
      <c r="C20" s="65" t="str">
        <f>IF(BP!D24="","",BP!D24)</f>
        <v>T480BRX</v>
      </c>
      <c r="D20" s="66"/>
      <c r="E20" s="67" t="s">
        <v>1446</v>
      </c>
      <c r="F20" s="67"/>
      <c r="G20" s="62" t="str">
        <f>IF(BP!E24="","",BP!E24)</f>
        <v>T414EMV</v>
      </c>
    </row>
    <row r="21" s="41" customFormat="1" ht="18" customHeight="1" spans="1:8">
      <c r="A21" s="63" t="s">
        <v>1447</v>
      </c>
      <c r="B21" s="50"/>
      <c r="C21" s="58" t="str">
        <f>IF(BP!F24="","",BP!F24)</f>
        <v>NA</v>
      </c>
      <c r="D21" s="68"/>
      <c r="E21" s="56"/>
      <c r="F21" s="56"/>
      <c r="G21" s="69"/>
      <c r="H21" s="69"/>
    </row>
    <row r="22" s="41" customFormat="1" ht="18" customHeight="1" spans="1:8">
      <c r="A22" s="62" t="s">
        <v>1448</v>
      </c>
      <c r="B22" s="50">
        <f>BP!K24</f>
        <v>24</v>
      </c>
      <c r="C22" s="65" t="s">
        <v>1449</v>
      </c>
      <c r="D22" s="70"/>
      <c r="E22" s="56"/>
      <c r="F22" s="71" t="s">
        <v>1450</v>
      </c>
      <c r="G22" s="72">
        <f>G23+B22*0.003</f>
        <v>33.666</v>
      </c>
      <c r="H22" s="56" t="s">
        <v>1451</v>
      </c>
    </row>
    <row r="23" s="41" customFormat="1" spans="1:8">
      <c r="B23" s="50"/>
      <c r="C23" s="65"/>
      <c r="D23" s="70"/>
      <c r="E23" s="56"/>
      <c r="F23" s="71" t="s">
        <v>1452</v>
      </c>
      <c r="G23" s="72">
        <f>'13装'!C44/1000</f>
        <v>33.594</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55739.50074</v>
      </c>
    </row>
    <row r="27" s="41" customFormat="1" spans="1:8">
      <c r="A27" s="56"/>
      <c r="B27" s="78"/>
      <c r="D27" s="78"/>
      <c r="F27" s="79"/>
      <c r="G27" s="80"/>
      <c r="H27" s="80"/>
    </row>
    <row r="28" s="41" customFormat="1" spans="1:8">
      <c r="A28" s="62" t="s">
        <v>1455</v>
      </c>
      <c r="B28" s="78"/>
      <c r="D28" s="56"/>
      <c r="F28" s="75" t="s">
        <v>1454</v>
      </c>
      <c r="G28" s="81">
        <v>35</v>
      </c>
      <c r="H28" s="75">
        <f>G28*G23</f>
        <v>1175.79</v>
      </c>
    </row>
    <row r="29" s="41" customFormat="1" spans="1:8">
      <c r="B29" s="78"/>
      <c r="D29" s="56"/>
      <c r="F29" s="82"/>
      <c r="G29" s="83"/>
      <c r="H29" s="83"/>
    </row>
    <row r="30" s="41" customFormat="1" spans="1:8">
      <c r="B30" s="78"/>
      <c r="D30" s="56" t="s">
        <v>1456</v>
      </c>
      <c r="F30" s="75" t="s">
        <v>1454</v>
      </c>
      <c r="G30" s="84">
        <f>G26*G23+H28</f>
        <v>56915.29074</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BP!B25</f>
        <v>EX202609-0519</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IF(BP!I25="","",BP!I25)</f>
        <v>C.STEINWEG BRIDGE (PTY) LTD</v>
      </c>
      <c r="C16" s="62"/>
      <c r="D16" s="62"/>
      <c r="E16" s="62"/>
      <c r="F16" s="62"/>
      <c r="G16" s="62"/>
      <c r="H16" s="62"/>
    </row>
    <row r="17" s="41" customFormat="1" spans="1:8">
      <c r="A17" s="63" t="s">
        <v>196</v>
      </c>
      <c r="B17" s="63" t="str">
        <f>IF(BP!G25="","",BP!G25)</f>
        <v>JAPHET FIKENI KITUMA</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IF(BP!C25="","",BP!C25)</f>
        <v>T265ECC</v>
      </c>
      <c r="D19" s="66"/>
      <c r="F19" s="56"/>
      <c r="G19" s="62"/>
    </row>
    <row r="20" s="41" customFormat="1" ht="19.95" customHeight="1" spans="1:8">
      <c r="A20" s="63" t="s">
        <v>194</v>
      </c>
      <c r="B20" s="64"/>
      <c r="C20" s="65" t="str">
        <f>IF(BP!D25="","",BP!D25)</f>
        <v>T983EBY</v>
      </c>
      <c r="D20" s="66"/>
      <c r="E20" s="67" t="s">
        <v>1446</v>
      </c>
      <c r="F20" s="67"/>
      <c r="G20" s="62" t="str">
        <f>IF(BP!E25="","",BP!E25)</f>
        <v>T713EGF</v>
      </c>
    </row>
    <row r="21" s="41" customFormat="1" ht="18" customHeight="1" spans="1:8">
      <c r="A21" s="63" t="s">
        <v>1447</v>
      </c>
      <c r="B21" s="50"/>
      <c r="C21" s="58" t="str">
        <f>IF(BP!F25="","",BP!F25)</f>
        <v>NA</v>
      </c>
      <c r="D21" s="68"/>
      <c r="E21" s="56"/>
      <c r="F21" s="56"/>
      <c r="G21" s="69"/>
      <c r="H21" s="69"/>
    </row>
    <row r="22" s="41" customFormat="1" ht="18" customHeight="1" spans="1:8">
      <c r="A22" s="62" t="s">
        <v>1448</v>
      </c>
      <c r="B22" s="50">
        <f>BP!K25</f>
        <v>25</v>
      </c>
      <c r="C22" s="65" t="s">
        <v>1449</v>
      </c>
      <c r="D22" s="70"/>
      <c r="E22" s="56"/>
      <c r="F22" s="71" t="s">
        <v>1450</v>
      </c>
      <c r="G22" s="72">
        <f>G23+B22*0.003</f>
        <v>33.939</v>
      </c>
      <c r="H22" s="56" t="s">
        <v>1451</v>
      </c>
    </row>
    <row r="23" s="41" customFormat="1" spans="1:8">
      <c r="B23" s="50"/>
      <c r="C23" s="65"/>
      <c r="D23" s="70"/>
      <c r="E23" s="56"/>
      <c r="F23" s="71" t="s">
        <v>1452</v>
      </c>
      <c r="G23" s="72">
        <f>'14装'!C45/1000</f>
        <v>33.864</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56187.48744</v>
      </c>
    </row>
    <row r="27" s="41" customFormat="1" spans="1:8">
      <c r="A27" s="56"/>
      <c r="B27" s="78"/>
      <c r="D27" s="78"/>
      <c r="F27" s="79"/>
      <c r="G27" s="80"/>
      <c r="H27" s="80"/>
    </row>
    <row r="28" s="41" customFormat="1" spans="1:8">
      <c r="A28" s="62" t="s">
        <v>1455</v>
      </c>
      <c r="B28" s="78"/>
      <c r="D28" s="56"/>
      <c r="F28" s="75" t="s">
        <v>1454</v>
      </c>
      <c r="G28" s="81">
        <v>35</v>
      </c>
      <c r="H28" s="75">
        <f>G28*G23</f>
        <v>1185.24</v>
      </c>
    </row>
    <row r="29" s="41" customFormat="1" spans="1:8">
      <c r="B29" s="78"/>
      <c r="D29" s="56"/>
      <c r="F29" s="82"/>
      <c r="G29" s="83"/>
      <c r="H29" s="83"/>
    </row>
    <row r="30" s="41" customFormat="1" spans="1:8">
      <c r="B30" s="78"/>
      <c r="D30" s="56" t="s">
        <v>1456</v>
      </c>
      <c r="F30" s="75" t="s">
        <v>1454</v>
      </c>
      <c r="G30" s="84">
        <f>G26*G23+H28</f>
        <v>57372.72744</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BP!B26</f>
        <v>EX202609-0520</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IF(BP!I26="","",BP!I26)</f>
        <v>C.STEINWEG BRIDGE (PTY) LTD</v>
      </c>
      <c r="C16" s="62"/>
      <c r="D16" s="62"/>
      <c r="E16" s="62"/>
      <c r="F16" s="62"/>
      <c r="G16" s="62"/>
      <c r="H16" s="62"/>
    </row>
    <row r="17" s="41" customFormat="1" spans="1:8">
      <c r="A17" s="63" t="s">
        <v>196</v>
      </c>
      <c r="B17" s="63" t="str">
        <f>IF(BP!G26="","",BP!G26)</f>
        <v>EDIGA YORAM</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IF(BP!C26="","",BP!C26)</f>
        <v>T485EAL</v>
      </c>
      <c r="D19" s="66"/>
      <c r="F19" s="56"/>
      <c r="G19" s="62"/>
    </row>
    <row r="20" s="41" customFormat="1" ht="19.95" customHeight="1" spans="1:8">
      <c r="A20" s="63" t="s">
        <v>194</v>
      </c>
      <c r="B20" s="64"/>
      <c r="C20" s="65" t="str">
        <f>IF(BP!D26="","",BP!D26)</f>
        <v>T331DEN</v>
      </c>
      <c r="D20" s="66"/>
      <c r="E20" s="67" t="s">
        <v>1446</v>
      </c>
      <c r="F20" s="67"/>
      <c r="G20" s="62" t="str">
        <f>IF(BP!E26="","",BP!E26)</f>
        <v>T710EGF</v>
      </c>
    </row>
    <row r="21" s="41" customFormat="1" ht="18" customHeight="1" spans="1:8">
      <c r="A21" s="63" t="s">
        <v>1447</v>
      </c>
      <c r="B21" s="50"/>
      <c r="C21" s="58" t="str">
        <f>IF(BP!F26="","",BP!F26)</f>
        <v>NA</v>
      </c>
      <c r="D21" s="68"/>
      <c r="E21" s="56"/>
      <c r="F21" s="56"/>
      <c r="G21" s="69"/>
      <c r="H21" s="69"/>
    </row>
    <row r="22" s="41" customFormat="1" ht="18" customHeight="1" spans="1:8">
      <c r="A22" s="62" t="s">
        <v>1448</v>
      </c>
      <c r="B22" s="50">
        <f>BP!K26</f>
        <v>23</v>
      </c>
      <c r="C22" s="65" t="s">
        <v>1449</v>
      </c>
      <c r="D22" s="70"/>
      <c r="E22" s="56"/>
      <c r="F22" s="71" t="s">
        <v>1450</v>
      </c>
      <c r="G22" s="72">
        <f>G23+B22*0.003</f>
        <v>33.893</v>
      </c>
      <c r="H22" s="56" t="s">
        <v>1451</v>
      </c>
    </row>
    <row r="23" s="41" customFormat="1" spans="1:8">
      <c r="B23" s="50"/>
      <c r="C23" s="65"/>
      <c r="D23" s="70"/>
      <c r="E23" s="56"/>
      <c r="F23" s="71" t="s">
        <v>1452</v>
      </c>
      <c r="G23" s="72">
        <f>'15装'!C43/1000</f>
        <v>33.824</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56121.11904</v>
      </c>
    </row>
    <row r="27" s="41" customFormat="1" spans="1:8">
      <c r="A27" s="56"/>
      <c r="B27" s="78"/>
      <c r="D27" s="78"/>
      <c r="F27" s="79"/>
      <c r="G27" s="80"/>
      <c r="H27" s="80"/>
    </row>
    <row r="28" s="41" customFormat="1" spans="1:8">
      <c r="A28" s="62" t="s">
        <v>1455</v>
      </c>
      <c r="B28" s="78"/>
      <c r="D28" s="56"/>
      <c r="F28" s="75" t="s">
        <v>1454</v>
      </c>
      <c r="G28" s="81">
        <v>35</v>
      </c>
      <c r="H28" s="75">
        <f>G28*G23</f>
        <v>1183.84</v>
      </c>
    </row>
    <row r="29" s="41" customFormat="1" spans="1:8">
      <c r="B29" s="78"/>
      <c r="D29" s="56"/>
      <c r="F29" s="82"/>
      <c r="G29" s="83"/>
      <c r="H29" s="83"/>
    </row>
    <row r="30" s="41" customFormat="1" spans="1:8">
      <c r="B30" s="78"/>
      <c r="D30" s="56" t="s">
        <v>1456</v>
      </c>
      <c r="F30" s="75" t="s">
        <v>1454</v>
      </c>
      <c r="G30" s="84">
        <f>G26*G23+H28</f>
        <v>57304.95904</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BP!B27</f>
        <v>EX202609-0521</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IF(BP!I27="","",BP!I27)</f>
        <v>C.STEINWEG BRIDGE (PTY) LTD</v>
      </c>
      <c r="C16" s="62"/>
      <c r="D16" s="62"/>
      <c r="E16" s="62"/>
      <c r="F16" s="62"/>
      <c r="G16" s="62"/>
      <c r="H16" s="62"/>
    </row>
    <row r="17" s="41" customFormat="1" spans="1:8">
      <c r="A17" s="63" t="s">
        <v>196</v>
      </c>
      <c r="B17" s="63" t="str">
        <f>IF(BP!G27="","",BP!G27)</f>
        <v>ISSA MANYANGA</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IF(BP!C27="","",BP!C27)</f>
        <v>T177EBK</v>
      </c>
      <c r="D19" s="66"/>
      <c r="F19" s="56"/>
      <c r="G19" s="62"/>
    </row>
    <row r="20" s="41" customFormat="1" ht="19.95" customHeight="1" spans="1:8">
      <c r="A20" s="63" t="s">
        <v>194</v>
      </c>
      <c r="B20" s="64"/>
      <c r="C20" s="65" t="str">
        <f>IF(BP!D27="","",BP!D27)</f>
        <v>T796BMY</v>
      </c>
      <c r="D20" s="66"/>
      <c r="E20" s="67" t="s">
        <v>1446</v>
      </c>
      <c r="F20" s="67"/>
      <c r="G20" s="62" t="str">
        <f>IF(BP!E27="","",BP!E27)</f>
        <v>T973EHX</v>
      </c>
    </row>
    <row r="21" s="41" customFormat="1" ht="18" customHeight="1" spans="1:8">
      <c r="A21" s="63" t="s">
        <v>1447</v>
      </c>
      <c r="B21" s="50"/>
      <c r="C21" s="58" t="str">
        <f>IF(BP!F27="","",BP!F27)</f>
        <v>NA</v>
      </c>
      <c r="D21" s="68"/>
      <c r="E21" s="56"/>
      <c r="F21" s="56"/>
      <c r="G21" s="69"/>
      <c r="H21" s="69"/>
    </row>
    <row r="22" s="41" customFormat="1" ht="18" customHeight="1" spans="1:8">
      <c r="A22" s="62" t="s">
        <v>1448</v>
      </c>
      <c r="B22" s="50">
        <f>BP!K27</f>
        <v>24</v>
      </c>
      <c r="C22" s="65" t="s">
        <v>1449</v>
      </c>
      <c r="D22" s="70"/>
      <c r="E22" s="56"/>
      <c r="F22" s="71" t="s">
        <v>1450</v>
      </c>
      <c r="G22" s="72">
        <f>G23+B22*0.003</f>
        <v>34.074</v>
      </c>
      <c r="H22" s="56" t="s">
        <v>1451</v>
      </c>
    </row>
    <row r="23" s="41" customFormat="1" spans="1:8">
      <c r="B23" s="50"/>
      <c r="C23" s="65"/>
      <c r="D23" s="70"/>
      <c r="E23" s="56"/>
      <c r="F23" s="71" t="s">
        <v>1452</v>
      </c>
      <c r="G23" s="72">
        <f>'16装'!C44/1000</f>
        <v>34.002</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56416.45842</v>
      </c>
    </row>
    <row r="27" s="41" customFormat="1" spans="1:8">
      <c r="A27" s="56"/>
      <c r="B27" s="78"/>
      <c r="D27" s="78"/>
      <c r="F27" s="79"/>
      <c r="G27" s="80"/>
      <c r="H27" s="80"/>
    </row>
    <row r="28" s="41" customFormat="1" spans="1:8">
      <c r="A28" s="62" t="s">
        <v>1455</v>
      </c>
      <c r="B28" s="78"/>
      <c r="D28" s="56"/>
      <c r="F28" s="75" t="s">
        <v>1454</v>
      </c>
      <c r="G28" s="81">
        <v>35</v>
      </c>
      <c r="H28" s="75">
        <f>G28*G23</f>
        <v>1190.07</v>
      </c>
    </row>
    <row r="29" s="41" customFormat="1" spans="1:8">
      <c r="B29" s="78"/>
      <c r="D29" s="56"/>
      <c r="F29" s="82"/>
      <c r="G29" s="83"/>
      <c r="H29" s="83"/>
    </row>
    <row r="30" s="41" customFormat="1" spans="1:8">
      <c r="B30" s="78"/>
      <c r="D30" s="56" t="s">
        <v>1456</v>
      </c>
      <c r="F30" s="75" t="s">
        <v>1454</v>
      </c>
      <c r="G30" s="84">
        <f>G26*G23+H28</f>
        <v>57606.52842</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BP!B28</f>
        <v>EX202609-0522</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IF(BP!I28="","",BP!I28)</f>
        <v>C.STEINWEG BRIDGE (PTY) LTD</v>
      </c>
      <c r="C16" s="62"/>
      <c r="D16" s="62"/>
      <c r="E16" s="62"/>
      <c r="F16" s="62"/>
      <c r="G16" s="62"/>
      <c r="H16" s="62"/>
    </row>
    <row r="17" s="41" customFormat="1" spans="1:8">
      <c r="A17" s="63" t="s">
        <v>196</v>
      </c>
      <c r="B17" s="63" t="str">
        <f>IF(BP!G28="","",BP!G28)</f>
        <v>MIKA KISUNGWE</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IF(BP!C28="","",BP!C28)</f>
        <v>T952DUM</v>
      </c>
      <c r="D19" s="66"/>
      <c r="F19" s="56"/>
      <c r="G19" s="62"/>
    </row>
    <row r="20" s="41" customFormat="1" ht="19.95" customHeight="1" spans="1:8">
      <c r="A20" s="63" t="s">
        <v>194</v>
      </c>
      <c r="B20" s="64"/>
      <c r="C20" s="65" t="str">
        <f>IF(BP!D28="","",BP!D28)</f>
        <v>T919ASZ</v>
      </c>
      <c r="D20" s="66"/>
      <c r="E20" s="67" t="s">
        <v>1446</v>
      </c>
      <c r="F20" s="67"/>
      <c r="G20" s="62" t="str">
        <f>IF(BP!E28="","",BP!E28)</f>
        <v>NA</v>
      </c>
    </row>
    <row r="21" s="41" customFormat="1" ht="18" customHeight="1" spans="1:8">
      <c r="A21" s="63" t="s">
        <v>1447</v>
      </c>
      <c r="B21" s="50"/>
      <c r="C21" s="58" t="str">
        <f>IF(BP!F28="","",BP!F28)</f>
        <v>NA</v>
      </c>
      <c r="D21" s="68"/>
      <c r="E21" s="56"/>
      <c r="F21" s="56"/>
      <c r="G21" s="69"/>
      <c r="H21" s="69"/>
    </row>
    <row r="22" s="41" customFormat="1" ht="18" customHeight="1" spans="1:8">
      <c r="A22" s="62" t="s">
        <v>1448</v>
      </c>
      <c r="B22" s="50">
        <f>BP!K28</f>
        <v>22</v>
      </c>
      <c r="C22" s="65" t="s">
        <v>1449</v>
      </c>
      <c r="D22" s="70"/>
      <c r="E22" s="56"/>
      <c r="F22" s="71" t="s">
        <v>1450</v>
      </c>
      <c r="G22" s="72">
        <f>G23+B22*0.003</f>
        <v>29.65</v>
      </c>
      <c r="H22" s="56" t="s">
        <v>1451</v>
      </c>
    </row>
    <row r="23" s="41" customFormat="1" spans="1:8">
      <c r="B23" s="50"/>
      <c r="C23" s="65"/>
      <c r="D23" s="70"/>
      <c r="E23" s="56"/>
      <c r="F23" s="71" t="s">
        <v>1452</v>
      </c>
      <c r="G23" s="72">
        <f>'17装'!C42/1000</f>
        <v>29.584</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49086.06864</v>
      </c>
    </row>
    <row r="27" s="41" customFormat="1" spans="1:8">
      <c r="A27" s="56"/>
      <c r="B27" s="78"/>
      <c r="D27" s="78"/>
      <c r="F27" s="79"/>
      <c r="G27" s="80"/>
      <c r="H27" s="80"/>
    </row>
    <row r="28" s="41" customFormat="1" spans="1:8">
      <c r="A28" s="62" t="s">
        <v>1455</v>
      </c>
      <c r="B28" s="78"/>
      <c r="D28" s="56"/>
      <c r="F28" s="75" t="s">
        <v>1454</v>
      </c>
      <c r="G28" s="81">
        <v>35</v>
      </c>
      <c r="H28" s="75">
        <f>G28*G23</f>
        <v>1035.44</v>
      </c>
    </row>
    <row r="29" s="41" customFormat="1" spans="1:8">
      <c r="B29" s="78"/>
      <c r="D29" s="56"/>
      <c r="F29" s="82"/>
      <c r="G29" s="83"/>
      <c r="H29" s="83"/>
    </row>
    <row r="30" s="41" customFormat="1" spans="1:8">
      <c r="B30" s="78"/>
      <c r="D30" s="56" t="s">
        <v>1456</v>
      </c>
      <c r="F30" s="75" t="s">
        <v>1454</v>
      </c>
      <c r="G30" s="84">
        <f>G26*G23+H28</f>
        <v>50121.50864</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BP!B29</f>
        <v>EX202609-0523</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IF(BP!I29="","",BP!I29)</f>
        <v>C.STEINWEG BRIDGE (PTY) LTD</v>
      </c>
      <c r="C16" s="62"/>
      <c r="D16" s="62"/>
      <c r="E16" s="62"/>
      <c r="F16" s="62"/>
      <c r="G16" s="62"/>
      <c r="H16" s="62"/>
    </row>
    <row r="17" s="41" customFormat="1" spans="1:8">
      <c r="A17" s="63" t="s">
        <v>196</v>
      </c>
      <c r="B17" s="63" t="str">
        <f>IF(BP!G29="","",BP!G29)</f>
        <v>SHARIFU JUMANNE</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IF(BP!C29="","",BP!C29)</f>
        <v>T502DMJ</v>
      </c>
      <c r="D19" s="66"/>
      <c r="F19" s="56"/>
      <c r="G19" s="62"/>
    </row>
    <row r="20" s="41" customFormat="1" ht="19.95" customHeight="1" spans="1:8">
      <c r="A20" s="63" t="s">
        <v>194</v>
      </c>
      <c r="B20" s="64"/>
      <c r="C20" s="65" t="str">
        <f>IF(BP!D29="","",BP!D29)</f>
        <v>T440CFG</v>
      </c>
      <c r="D20" s="66"/>
      <c r="E20" s="67" t="s">
        <v>1446</v>
      </c>
      <c r="F20" s="67"/>
      <c r="G20" s="62" t="str">
        <f>IF(BP!E29="","",BP!E29)</f>
        <v>T364ELY</v>
      </c>
    </row>
    <row r="21" s="41" customFormat="1" ht="18" customHeight="1" spans="1:8">
      <c r="A21" s="63" t="s">
        <v>1447</v>
      </c>
      <c r="B21" s="50"/>
      <c r="C21" s="58" t="str">
        <f>IF(BP!F29="","",BP!F29)</f>
        <v>NA</v>
      </c>
      <c r="D21" s="68"/>
      <c r="E21" s="56"/>
      <c r="F21" s="56"/>
      <c r="G21" s="69"/>
      <c r="H21" s="69"/>
    </row>
    <row r="22" s="41" customFormat="1" ht="18" customHeight="1" spans="1:8">
      <c r="A22" s="62" t="s">
        <v>1448</v>
      </c>
      <c r="B22" s="50">
        <f>BP!K29</f>
        <v>23</v>
      </c>
      <c r="C22" s="65" t="s">
        <v>1449</v>
      </c>
      <c r="D22" s="70"/>
      <c r="E22" s="56"/>
      <c r="F22" s="71" t="s">
        <v>1450</v>
      </c>
      <c r="G22" s="72">
        <f>G23+B22*0.003</f>
        <v>33.73</v>
      </c>
      <c r="H22" s="56" t="s">
        <v>1451</v>
      </c>
    </row>
    <row r="23" s="41" customFormat="1" spans="1:8">
      <c r="B23" s="50"/>
      <c r="C23" s="65"/>
      <c r="D23" s="70"/>
      <c r="E23" s="56"/>
      <c r="F23" s="71" t="s">
        <v>1452</v>
      </c>
      <c r="G23" s="72">
        <f>'18装'!C43/1000</f>
        <v>33.661</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55850.66781</v>
      </c>
    </row>
    <row r="27" s="41" customFormat="1" spans="1:8">
      <c r="A27" s="56"/>
      <c r="B27" s="78"/>
      <c r="D27" s="78"/>
      <c r="F27" s="79"/>
      <c r="G27" s="80"/>
      <c r="H27" s="80"/>
    </row>
    <row r="28" s="41" customFormat="1" spans="1:8">
      <c r="A28" s="62" t="s">
        <v>1455</v>
      </c>
      <c r="B28" s="78"/>
      <c r="D28" s="56"/>
      <c r="F28" s="75" t="s">
        <v>1454</v>
      </c>
      <c r="G28" s="81">
        <v>35</v>
      </c>
      <c r="H28" s="75">
        <f>G28*G23</f>
        <v>1178.135</v>
      </c>
    </row>
    <row r="29" s="41" customFormat="1" spans="1:8">
      <c r="B29" s="78"/>
      <c r="D29" s="56"/>
      <c r="F29" s="82"/>
      <c r="G29" s="83"/>
      <c r="H29" s="83"/>
    </row>
    <row r="30" s="41" customFormat="1" spans="1:8">
      <c r="B30" s="78"/>
      <c r="D30" s="56" t="s">
        <v>1456</v>
      </c>
      <c r="F30" s="75" t="s">
        <v>1454</v>
      </c>
      <c r="G30" s="84">
        <f>G26*G23+H28</f>
        <v>57028.80281</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BP!B30</f>
        <v>EX202609-0524</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IF(BP!I30="","",BP!I30)</f>
        <v>IMPERIAL ROAD HAULAGE LTD</v>
      </c>
      <c r="C16" s="62"/>
      <c r="D16" s="62"/>
      <c r="E16" s="62"/>
      <c r="F16" s="62"/>
      <c r="G16" s="62"/>
      <c r="H16" s="62"/>
    </row>
    <row r="17" s="41" customFormat="1" spans="1:8">
      <c r="A17" s="63" t="s">
        <v>196</v>
      </c>
      <c r="B17" s="63" t="str">
        <f>IF(BP!G30="","",BP!G30)</f>
        <v>MUSTAFER AMIR </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IF(BP!C30="","",BP!C30)</f>
        <v>T540ECN</v>
      </c>
      <c r="D19" s="66"/>
      <c r="F19" s="56"/>
      <c r="G19" s="62"/>
    </row>
    <row r="20" s="41" customFormat="1" ht="19.95" customHeight="1" spans="1:8">
      <c r="A20" s="63" t="s">
        <v>194</v>
      </c>
      <c r="B20" s="64"/>
      <c r="C20" s="65" t="str">
        <f>IF(BP!D30="","",BP!D30)</f>
        <v>T827ENG</v>
      </c>
      <c r="D20" s="66"/>
      <c r="E20" s="67" t="s">
        <v>1446</v>
      </c>
      <c r="F20" s="67"/>
      <c r="G20" s="62" t="str">
        <f>IF(BP!E30="","",BP!E30)</f>
        <v>NA</v>
      </c>
    </row>
    <row r="21" s="41" customFormat="1" ht="18" customHeight="1" spans="1:8">
      <c r="A21" s="63" t="s">
        <v>1447</v>
      </c>
      <c r="B21" s="50"/>
      <c r="C21" s="58" t="str">
        <f>IF(BP!F30="","",BP!F30)</f>
        <v>NA</v>
      </c>
      <c r="D21" s="68"/>
      <c r="E21" s="56"/>
      <c r="F21" s="56"/>
      <c r="G21" s="69"/>
      <c r="H21" s="69"/>
    </row>
    <row r="22" s="41" customFormat="1" ht="18" customHeight="1" spans="1:8">
      <c r="A22" s="62" t="s">
        <v>1448</v>
      </c>
      <c r="B22" s="50">
        <f>BP!K30</f>
        <v>23</v>
      </c>
      <c r="C22" s="65" t="s">
        <v>1449</v>
      </c>
      <c r="D22" s="70"/>
      <c r="E22" s="56"/>
      <c r="F22" s="71" t="s">
        <v>1450</v>
      </c>
      <c r="G22" s="72">
        <f>G23+B22*0.003</f>
        <v>32.548</v>
      </c>
      <c r="H22" s="56" t="s">
        <v>1451</v>
      </c>
    </row>
    <row r="23" s="41" customFormat="1" spans="1:8">
      <c r="B23" s="50"/>
      <c r="C23" s="65"/>
      <c r="D23" s="70"/>
      <c r="E23" s="56"/>
      <c r="F23" s="71" t="s">
        <v>1452</v>
      </c>
      <c r="G23" s="72">
        <f>'19装'!C43/1000</f>
        <v>32.479</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53889.48159</v>
      </c>
    </row>
    <row r="27" s="41" customFormat="1" spans="1:8">
      <c r="A27" s="56"/>
      <c r="B27" s="78"/>
      <c r="D27" s="78"/>
      <c r="F27" s="79"/>
      <c r="G27" s="80"/>
      <c r="H27" s="80"/>
    </row>
    <row r="28" s="41" customFormat="1" spans="1:8">
      <c r="A28" s="62" t="s">
        <v>1455</v>
      </c>
      <c r="B28" s="78"/>
      <c r="D28" s="56"/>
      <c r="F28" s="75" t="s">
        <v>1454</v>
      </c>
      <c r="G28" s="81">
        <v>35</v>
      </c>
      <c r="H28" s="75">
        <f>G28*G23</f>
        <v>1136.765</v>
      </c>
    </row>
    <row r="29" s="41" customFormat="1" spans="1:8">
      <c r="B29" s="78"/>
      <c r="D29" s="56"/>
      <c r="F29" s="82"/>
      <c r="G29" s="83"/>
      <c r="H29" s="83"/>
    </row>
    <row r="30" s="41" customFormat="1" spans="1:8">
      <c r="B30" s="78"/>
      <c r="D30" s="56" t="s">
        <v>1456</v>
      </c>
      <c r="F30" s="75" t="s">
        <v>1454</v>
      </c>
      <c r="G30" s="84">
        <f>G26*G23+H28</f>
        <v>55026.24659</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BP!B31</f>
        <v>EX202609-0525</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IF(BP!I31="","",BP!I31)</f>
        <v>OVERLAND INTERNATIONAL AG</v>
      </c>
      <c r="C16" s="62"/>
      <c r="D16" s="62"/>
      <c r="E16" s="62"/>
      <c r="F16" s="62"/>
      <c r="G16" s="62"/>
      <c r="H16" s="62"/>
    </row>
    <row r="17" s="41" customFormat="1" spans="1:8">
      <c r="A17" s="63" t="s">
        <v>196</v>
      </c>
      <c r="B17" s="63" t="str">
        <f>IF(BP!G31="","",BP!G31)</f>
        <v>CHARLES LUCAS MTENGULE</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IF(BP!C31="","",BP!C31)</f>
        <v>T699DRY</v>
      </c>
      <c r="D19" s="66"/>
      <c r="F19" s="56"/>
      <c r="G19" s="62"/>
    </row>
    <row r="20" s="41" customFormat="1" ht="19.95" customHeight="1" spans="1:8">
      <c r="A20" s="63" t="s">
        <v>194</v>
      </c>
      <c r="B20" s="64"/>
      <c r="C20" s="65" t="str">
        <f>IF(BP!D31="","",BP!D31)</f>
        <v>T699DRY</v>
      </c>
      <c r="D20" s="66"/>
      <c r="E20" s="67" t="s">
        <v>1446</v>
      </c>
      <c r="F20" s="67"/>
      <c r="G20" s="62" t="str">
        <f>IF(BP!E31="","",BP!E31)</f>
        <v>T207DSK</v>
      </c>
    </row>
    <row r="21" s="41" customFormat="1" ht="18" customHeight="1" spans="1:8">
      <c r="A21" s="63" t="s">
        <v>1447</v>
      </c>
      <c r="B21" s="50"/>
      <c r="C21" s="58" t="str">
        <f>IF(BP!F31="","",BP!F31)</f>
        <v>NA</v>
      </c>
      <c r="D21" s="68"/>
      <c r="E21" s="56"/>
      <c r="F21" s="56"/>
      <c r="G21" s="69"/>
      <c r="H21" s="69"/>
    </row>
    <row r="22" s="41" customFormat="1" ht="18" customHeight="1" spans="1:8">
      <c r="A22" s="62" t="s">
        <v>1448</v>
      </c>
      <c r="B22" s="50">
        <f>BP!K31</f>
        <v>24</v>
      </c>
      <c r="C22" s="65" t="s">
        <v>1449</v>
      </c>
      <c r="D22" s="70"/>
      <c r="E22" s="56"/>
      <c r="F22" s="71" t="s">
        <v>1450</v>
      </c>
      <c r="G22" s="72">
        <f>G23+B22*0.003</f>
        <v>33.754</v>
      </c>
      <c r="H22" s="56" t="s">
        <v>1451</v>
      </c>
    </row>
    <row r="23" s="41" customFormat="1" spans="1:8">
      <c r="B23" s="50"/>
      <c r="C23" s="65"/>
      <c r="D23" s="70"/>
      <c r="E23" s="56"/>
      <c r="F23" s="71" t="s">
        <v>1452</v>
      </c>
      <c r="G23" s="72">
        <f>'20装'!C44/1000</f>
        <v>33.682</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55885.51122</v>
      </c>
    </row>
    <row r="27" s="41" customFormat="1" spans="1:8">
      <c r="A27" s="56"/>
      <c r="B27" s="78"/>
      <c r="D27" s="78"/>
      <c r="F27" s="79"/>
      <c r="G27" s="80"/>
      <c r="H27" s="80"/>
    </row>
    <row r="28" s="41" customFormat="1" spans="1:8">
      <c r="A28" s="62" t="s">
        <v>1455</v>
      </c>
      <c r="B28" s="78"/>
      <c r="D28" s="56"/>
      <c r="F28" s="75" t="s">
        <v>1454</v>
      </c>
      <c r="G28" s="81">
        <v>35</v>
      </c>
      <c r="H28" s="75">
        <f>G28*G23</f>
        <v>1178.87</v>
      </c>
    </row>
    <row r="29" s="41" customFormat="1" spans="1:8">
      <c r="B29" s="78"/>
      <c r="D29" s="56"/>
      <c r="F29" s="82"/>
      <c r="G29" s="83"/>
      <c r="H29" s="83"/>
    </row>
    <row r="30" s="41" customFormat="1" spans="1:8">
      <c r="B30" s="78"/>
      <c r="D30" s="56" t="s">
        <v>1456</v>
      </c>
      <c r="F30" s="75" t="s">
        <v>1454</v>
      </c>
      <c r="G30" s="84">
        <f>G26*G23+H28</f>
        <v>57064.38122</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BP!B32</f>
        <v>EX202609-0526</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IF(BP!I32="","",BP!I32)</f>
        <v>VAN MO COMPANY LIMITED</v>
      </c>
      <c r="C16" s="62"/>
      <c r="D16" s="62"/>
      <c r="E16" s="62"/>
      <c r="F16" s="62"/>
      <c r="G16" s="62"/>
      <c r="H16" s="62"/>
    </row>
    <row r="17" s="41" customFormat="1" spans="1:8">
      <c r="A17" s="63" t="s">
        <v>196</v>
      </c>
      <c r="B17" s="63" t="str">
        <f>IF(BP!G32="","",BP!G32)</f>
        <v>SALEHE HEMEDI </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IF(BP!C32="","",BP!C32)</f>
        <v>T341EPL</v>
      </c>
      <c r="D19" s="66"/>
      <c r="F19" s="56"/>
      <c r="G19" s="62"/>
    </row>
    <row r="20" s="41" customFormat="1" ht="19.95" customHeight="1" spans="1:8">
      <c r="A20" s="63" t="s">
        <v>194</v>
      </c>
      <c r="B20" s="64"/>
      <c r="C20" s="65" t="str">
        <f>IF(BP!D32="","",BP!D32)</f>
        <v>T731EPJ</v>
      </c>
      <c r="D20" s="66"/>
      <c r="E20" s="67" t="s">
        <v>1446</v>
      </c>
      <c r="F20" s="67"/>
      <c r="G20" s="62" t="str">
        <f>IF(BP!E32="","",BP!E32)</f>
        <v>NA</v>
      </c>
    </row>
    <row r="21" s="41" customFormat="1" ht="18" customHeight="1" spans="1:8">
      <c r="A21" s="63" t="s">
        <v>1447</v>
      </c>
      <c r="B21" s="50"/>
      <c r="C21" s="58" t="str">
        <f>IF(BP!F32="","",BP!F32)</f>
        <v>NA</v>
      </c>
      <c r="D21" s="68"/>
      <c r="E21" s="56"/>
      <c r="F21" s="56"/>
      <c r="G21" s="69"/>
      <c r="H21" s="69"/>
    </row>
    <row r="22" s="41" customFormat="1" ht="18" customHeight="1" spans="1:8">
      <c r="A22" s="62" t="s">
        <v>1448</v>
      </c>
      <c r="B22" s="50">
        <f>BP!K32</f>
        <v>22</v>
      </c>
      <c r="C22" s="65" t="s">
        <v>1449</v>
      </c>
      <c r="D22" s="70"/>
      <c r="E22" s="56"/>
      <c r="F22" s="71" t="s">
        <v>1450</v>
      </c>
      <c r="G22" s="72">
        <f>G23+B22*0.003</f>
        <v>30.65</v>
      </c>
      <c r="H22" s="56" t="s">
        <v>1451</v>
      </c>
    </row>
    <row r="23" s="41" customFormat="1" spans="1:8">
      <c r="B23" s="50"/>
      <c r="C23" s="65"/>
      <c r="D23" s="70"/>
      <c r="E23" s="56"/>
      <c r="F23" s="71" t="s">
        <v>1452</v>
      </c>
      <c r="G23" s="72">
        <f>'21装'!C42/1000</f>
        <v>30.584</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50745.27864</v>
      </c>
    </row>
    <row r="27" s="41" customFormat="1" spans="1:8">
      <c r="A27" s="56"/>
      <c r="B27" s="78"/>
      <c r="D27" s="78"/>
      <c r="F27" s="79"/>
      <c r="G27" s="80"/>
      <c r="H27" s="80"/>
    </row>
    <row r="28" s="41" customFormat="1" spans="1:8">
      <c r="A28" s="62" t="s">
        <v>1455</v>
      </c>
      <c r="B28" s="78"/>
      <c r="D28" s="56"/>
      <c r="F28" s="75" t="s">
        <v>1454</v>
      </c>
      <c r="G28" s="81">
        <v>35</v>
      </c>
      <c r="H28" s="75">
        <f>G28*G23</f>
        <v>1070.44</v>
      </c>
    </row>
    <row r="29" s="41" customFormat="1" spans="1:8">
      <c r="B29" s="78"/>
      <c r="D29" s="56"/>
      <c r="F29" s="82"/>
      <c r="G29" s="83"/>
      <c r="H29" s="83"/>
    </row>
    <row r="30" s="41" customFormat="1" spans="1:8">
      <c r="B30" s="78"/>
      <c r="D30" s="56" t="s">
        <v>1456</v>
      </c>
      <c r="F30" s="75" t="s">
        <v>1454</v>
      </c>
      <c r="G30" s="84">
        <f>G26*G23+H28</f>
        <v>51815.71864</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BP!B33</f>
        <v>EX202609-0527</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IF(BP!I33="","",BP!I33)</f>
        <v>C.STEINWEG BRIDGE (PTY) LTD</v>
      </c>
      <c r="C16" s="62"/>
      <c r="D16" s="62"/>
      <c r="E16" s="62"/>
      <c r="F16" s="62"/>
      <c r="G16" s="62"/>
      <c r="H16" s="62"/>
    </row>
    <row r="17" s="41" customFormat="1" spans="1:8">
      <c r="A17" s="63" t="s">
        <v>196</v>
      </c>
      <c r="B17" s="63" t="str">
        <f>IF(BP!G33="","",BP!G33)</f>
        <v>SALUM MUMBA</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IF(BP!C33="","",BP!C33)</f>
        <v>T626ECB</v>
      </c>
      <c r="D19" s="66"/>
      <c r="F19" s="56"/>
      <c r="G19" s="62"/>
    </row>
    <row r="20" s="41" customFormat="1" ht="19.95" customHeight="1" spans="1:8">
      <c r="A20" s="63" t="s">
        <v>194</v>
      </c>
      <c r="B20" s="64"/>
      <c r="C20" s="65" t="str">
        <f>IF(BP!D33="","",BP!D33)</f>
        <v>T557BBE</v>
      </c>
      <c r="D20" s="66"/>
      <c r="E20" s="67" t="s">
        <v>1446</v>
      </c>
      <c r="F20" s="67"/>
      <c r="G20" s="62" t="str">
        <f>IF(BP!E33="","",BP!E33)</f>
        <v>T236DTC</v>
      </c>
    </row>
    <row r="21" s="41" customFormat="1" ht="18" customHeight="1" spans="1:8">
      <c r="A21" s="63" t="s">
        <v>1447</v>
      </c>
      <c r="B21" s="50"/>
      <c r="C21" s="58" t="str">
        <f>IF(BP!F33="","",BP!F33)</f>
        <v>NA</v>
      </c>
      <c r="D21" s="68"/>
      <c r="E21" s="56"/>
      <c r="F21" s="56"/>
      <c r="G21" s="69"/>
      <c r="H21" s="69"/>
    </row>
    <row r="22" s="41" customFormat="1" ht="18" customHeight="1" spans="1:8">
      <c r="A22" s="62" t="s">
        <v>1448</v>
      </c>
      <c r="B22" s="50">
        <f>BP!K33</f>
        <v>25</v>
      </c>
      <c r="C22" s="65" t="s">
        <v>1449</v>
      </c>
      <c r="D22" s="70"/>
      <c r="E22" s="56"/>
      <c r="F22" s="71" t="s">
        <v>1450</v>
      </c>
      <c r="G22" s="72">
        <f>G23+B22*0.003</f>
        <v>33.827</v>
      </c>
      <c r="H22" s="56" t="s">
        <v>1451</v>
      </c>
    </row>
    <row r="23" s="41" customFormat="1" spans="1:8">
      <c r="B23" s="50"/>
      <c r="C23" s="65"/>
      <c r="D23" s="70"/>
      <c r="E23" s="56"/>
      <c r="F23" s="71" t="s">
        <v>1452</v>
      </c>
      <c r="G23" s="72">
        <f>'22装'!C45/1000</f>
        <v>33.752</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56001.65592</v>
      </c>
    </row>
    <row r="27" s="41" customFormat="1" spans="1:8">
      <c r="A27" s="56"/>
      <c r="B27" s="78"/>
      <c r="D27" s="78"/>
      <c r="F27" s="79"/>
      <c r="G27" s="80"/>
      <c r="H27" s="80"/>
    </row>
    <row r="28" s="41" customFormat="1" spans="1:8">
      <c r="A28" s="62" t="s">
        <v>1455</v>
      </c>
      <c r="B28" s="78"/>
      <c r="D28" s="56"/>
      <c r="F28" s="75" t="s">
        <v>1454</v>
      </c>
      <c r="G28" s="81">
        <v>35</v>
      </c>
      <c r="H28" s="75">
        <f>G28*G23</f>
        <v>1181.32</v>
      </c>
    </row>
    <row r="29" s="41" customFormat="1" spans="1:8">
      <c r="B29" s="78"/>
      <c r="D29" s="56"/>
      <c r="F29" s="82"/>
      <c r="G29" s="83"/>
      <c r="H29" s="83"/>
    </row>
    <row r="30" s="41" customFormat="1" spans="1:8">
      <c r="B30" s="78"/>
      <c r="D30" s="56" t="s">
        <v>1456</v>
      </c>
      <c r="F30" s="75" t="s">
        <v>1454</v>
      </c>
      <c r="G30" s="84">
        <f>G26*G23+H28</f>
        <v>57182.97592</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BP!B34</f>
        <v>EX202609-0528</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IF(BP!I34="","",BP!I34)</f>
        <v>C.STEINWEG BRIDGE (PTY) LTD</v>
      </c>
      <c r="C16" s="62"/>
      <c r="D16" s="62"/>
      <c r="E16" s="62"/>
      <c r="F16" s="62"/>
      <c r="G16" s="62"/>
      <c r="H16" s="62"/>
    </row>
    <row r="17" s="41" customFormat="1" spans="1:8">
      <c r="A17" s="63" t="s">
        <v>196</v>
      </c>
      <c r="B17" s="63" t="str">
        <f>IF(BP!G34="","",BP!G34)</f>
        <v>MUSTAFA OMARY</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IF(BP!C34="","",BP!C34)</f>
        <v>T222DFL</v>
      </c>
      <c r="D19" s="66"/>
      <c r="F19" s="56"/>
      <c r="G19" s="62"/>
    </row>
    <row r="20" s="41" customFormat="1" ht="19.95" customHeight="1" spans="1:8">
      <c r="A20" s="63" t="s">
        <v>194</v>
      </c>
      <c r="B20" s="64"/>
      <c r="C20" s="65" t="str">
        <f>IF(BP!D34="","",BP!D34)</f>
        <v>T596CBD</v>
      </c>
      <c r="D20" s="66"/>
      <c r="E20" s="67" t="s">
        <v>1446</v>
      </c>
      <c r="F20" s="67"/>
      <c r="G20" s="62" t="str">
        <f>IF(BP!E34="","",BP!E34)</f>
        <v>T429EMV</v>
      </c>
    </row>
    <row r="21" s="41" customFormat="1" ht="18" customHeight="1" spans="1:8">
      <c r="A21" s="63" t="s">
        <v>1447</v>
      </c>
      <c r="B21" s="50"/>
      <c r="C21" s="58" t="str">
        <f>IF(BP!F34="","",BP!F34)</f>
        <v>NA</v>
      </c>
      <c r="D21" s="68"/>
      <c r="E21" s="56"/>
      <c r="F21" s="56"/>
      <c r="G21" s="69"/>
      <c r="H21" s="69"/>
    </row>
    <row r="22" s="41" customFormat="1" ht="18" customHeight="1" spans="1:8">
      <c r="A22" s="62" t="s">
        <v>1448</v>
      </c>
      <c r="B22" s="50">
        <f>BP!K34</f>
        <v>24</v>
      </c>
      <c r="C22" s="65" t="s">
        <v>1449</v>
      </c>
      <c r="D22" s="70"/>
      <c r="E22" s="56"/>
      <c r="F22" s="71" t="s">
        <v>1450</v>
      </c>
      <c r="G22" s="72">
        <f>G23+B22*0.003</f>
        <v>34.762</v>
      </c>
      <c r="H22" s="56" t="s">
        <v>1451</v>
      </c>
    </row>
    <row r="23" s="41" customFormat="1" spans="1:8">
      <c r="B23" s="50"/>
      <c r="C23" s="65"/>
      <c r="D23" s="70"/>
      <c r="E23" s="56"/>
      <c r="F23" s="71" t="s">
        <v>1452</v>
      </c>
      <c r="G23" s="72">
        <f>'23装'!C44/1000</f>
        <v>34.69</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57557.9949</v>
      </c>
    </row>
    <row r="27" s="41" customFormat="1" spans="1:8">
      <c r="A27" s="56"/>
      <c r="B27" s="78"/>
      <c r="D27" s="78"/>
      <c r="F27" s="79"/>
      <c r="G27" s="80"/>
      <c r="H27" s="80"/>
    </row>
    <row r="28" s="41" customFormat="1" spans="1:8">
      <c r="A28" s="62" t="s">
        <v>1455</v>
      </c>
      <c r="B28" s="78"/>
      <c r="D28" s="56"/>
      <c r="F28" s="75" t="s">
        <v>1454</v>
      </c>
      <c r="G28" s="81">
        <v>35</v>
      </c>
      <c r="H28" s="75">
        <f>G28*G23</f>
        <v>1214.15</v>
      </c>
    </row>
    <row r="29" s="41" customFormat="1" spans="1:8">
      <c r="B29" s="78"/>
      <c r="D29" s="56"/>
      <c r="F29" s="82"/>
      <c r="G29" s="83"/>
      <c r="H29" s="83"/>
    </row>
    <row r="30" s="41" customFormat="1" spans="1:8">
      <c r="B30" s="78"/>
      <c r="D30" s="56" t="s">
        <v>1456</v>
      </c>
      <c r="F30" s="75" t="s">
        <v>1454</v>
      </c>
      <c r="G30" s="84">
        <f>G26*G23+H28</f>
        <v>58772.1449</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BP!B35</f>
        <v>EX202609-0529</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IF(BP!I35="","",BP!I35)</f>
        <v>C.STEINWEG BRIDGE (PTY) LTD</v>
      </c>
      <c r="C16" s="62"/>
      <c r="D16" s="62"/>
      <c r="E16" s="62"/>
      <c r="F16" s="62"/>
      <c r="G16" s="62"/>
      <c r="H16" s="62"/>
    </row>
    <row r="17" s="41" customFormat="1" spans="1:8">
      <c r="A17" s="63" t="s">
        <v>196</v>
      </c>
      <c r="B17" s="63" t="str">
        <f>IF(BP!G35="","",BP!G35)</f>
        <v>IDDI JUMA</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IF(BP!C35="","",BP!C35)</f>
        <v>T602DYY</v>
      </c>
      <c r="D19" s="66"/>
      <c r="F19" s="56"/>
      <c r="G19" s="62"/>
    </row>
    <row r="20" s="41" customFormat="1" ht="19.95" customHeight="1" spans="1:8">
      <c r="A20" s="63" t="s">
        <v>194</v>
      </c>
      <c r="B20" s="64"/>
      <c r="C20" s="65" t="str">
        <f>IF(BP!D35="","",BP!D35)</f>
        <v>T494BRX</v>
      </c>
      <c r="D20" s="66"/>
      <c r="E20" s="67" t="s">
        <v>1446</v>
      </c>
      <c r="F20" s="67"/>
      <c r="G20" s="62" t="str">
        <f>IF(BP!E35="","",BP!E35)</f>
        <v>T415EPH</v>
      </c>
    </row>
    <row r="21" s="41" customFormat="1" ht="18" customHeight="1" spans="1:8">
      <c r="A21" s="63" t="s">
        <v>1447</v>
      </c>
      <c r="B21" s="50"/>
      <c r="C21" s="58" t="str">
        <f>IF(BP!F35="","",BP!F35)</f>
        <v>NA</v>
      </c>
      <c r="D21" s="68"/>
      <c r="E21" s="56"/>
      <c r="F21" s="56"/>
      <c r="G21" s="69"/>
      <c r="H21" s="69"/>
    </row>
    <row r="22" s="41" customFormat="1" ht="18" customHeight="1" spans="1:8">
      <c r="A22" s="62" t="s">
        <v>1448</v>
      </c>
      <c r="B22" s="50">
        <f>BP!K35</f>
        <v>23</v>
      </c>
      <c r="C22" s="65" t="s">
        <v>1449</v>
      </c>
      <c r="D22" s="70"/>
      <c r="E22" s="56"/>
      <c r="F22" s="71" t="s">
        <v>1450</v>
      </c>
      <c r="G22" s="72">
        <f>G23+B22*0.003</f>
        <v>34.339</v>
      </c>
      <c r="H22" s="56" t="s">
        <v>1451</v>
      </c>
    </row>
    <row r="23" s="41" customFormat="1" spans="1:8">
      <c r="B23" s="50"/>
      <c r="C23" s="65"/>
      <c r="D23" s="70"/>
      <c r="E23" s="56"/>
      <c r="F23" s="71" t="s">
        <v>1452</v>
      </c>
      <c r="G23" s="72">
        <f>'24装'!C43/1000</f>
        <v>34.27</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56861.1267</v>
      </c>
    </row>
    <row r="27" s="41" customFormat="1" spans="1:8">
      <c r="A27" s="56"/>
      <c r="B27" s="78"/>
      <c r="D27" s="78"/>
      <c r="F27" s="79"/>
      <c r="G27" s="80"/>
      <c r="H27" s="80"/>
    </row>
    <row r="28" s="41" customFormat="1" spans="1:8">
      <c r="A28" s="62" t="s">
        <v>1455</v>
      </c>
      <c r="B28" s="78"/>
      <c r="D28" s="56"/>
      <c r="F28" s="75" t="s">
        <v>1454</v>
      </c>
      <c r="G28" s="81">
        <v>35</v>
      </c>
      <c r="H28" s="75">
        <f>G28*G23</f>
        <v>1199.45</v>
      </c>
    </row>
    <row r="29" s="41" customFormat="1" spans="1:8">
      <c r="B29" s="78"/>
      <c r="D29" s="56"/>
      <c r="F29" s="82"/>
      <c r="G29" s="83"/>
      <c r="H29" s="83"/>
    </row>
    <row r="30" s="41" customFormat="1" spans="1:8">
      <c r="B30" s="78"/>
      <c r="D30" s="56" t="s">
        <v>1456</v>
      </c>
      <c r="F30" s="75" t="s">
        <v>1454</v>
      </c>
      <c r="G30" s="84">
        <f>G26*G23+H28</f>
        <v>58060.5767</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BP!B36</f>
        <v>EX202609-0530</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IF(BP!I36="","",BP!I36)</f>
        <v>C.STEINWEG BRIDGE (PTY) LTD</v>
      </c>
      <c r="C16" s="62"/>
      <c r="D16" s="62"/>
      <c r="E16" s="62"/>
      <c r="F16" s="62"/>
      <c r="G16" s="62"/>
      <c r="H16" s="62"/>
    </row>
    <row r="17" s="41" customFormat="1" spans="1:8">
      <c r="A17" s="63" t="s">
        <v>196</v>
      </c>
      <c r="B17" s="63" t="str">
        <f>IF(BP!G36="","",BP!G36)</f>
        <v>RAMADHAN RUME</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IF(BP!C36="","",BP!C36)</f>
        <v>T605EGH</v>
      </c>
      <c r="D19" s="66"/>
      <c r="F19" s="56"/>
      <c r="G19" s="62"/>
    </row>
    <row r="20" s="41" customFormat="1" ht="19.95" customHeight="1" spans="1:8">
      <c r="A20" s="63" t="s">
        <v>194</v>
      </c>
      <c r="B20" s="64"/>
      <c r="C20" s="65" t="str">
        <f>IF(BP!D36="","",BP!D36)</f>
        <v>T314ECC</v>
      </c>
      <c r="D20" s="66"/>
      <c r="E20" s="67" t="s">
        <v>1446</v>
      </c>
      <c r="F20" s="67"/>
      <c r="G20" s="62" t="str">
        <f>IF(BP!E36="","",BP!E36)</f>
        <v>T980EHQ</v>
      </c>
    </row>
    <row r="21" s="41" customFormat="1" ht="18" customHeight="1" spans="1:8">
      <c r="A21" s="63" t="s">
        <v>1447</v>
      </c>
      <c r="B21" s="50"/>
      <c r="C21" s="58" t="str">
        <f>IF(BP!F36="","",BP!F36)</f>
        <v>NA</v>
      </c>
      <c r="D21" s="68"/>
      <c r="E21" s="56"/>
      <c r="F21" s="56"/>
      <c r="G21" s="69"/>
      <c r="H21" s="69"/>
    </row>
    <row r="22" s="41" customFormat="1" ht="18" customHeight="1" spans="1:8">
      <c r="A22" s="62" t="s">
        <v>1448</v>
      </c>
      <c r="B22" s="50">
        <f>BP!K36</f>
        <v>25</v>
      </c>
      <c r="C22" s="65" t="s">
        <v>1449</v>
      </c>
      <c r="D22" s="70"/>
      <c r="E22" s="56"/>
      <c r="F22" s="71" t="s">
        <v>1450</v>
      </c>
      <c r="G22" s="72">
        <f>G23+B22*0.003</f>
        <v>34.727</v>
      </c>
      <c r="H22" s="56" t="s">
        <v>1451</v>
      </c>
    </row>
    <row r="23" s="41" customFormat="1" spans="1:8">
      <c r="B23" s="50"/>
      <c r="C23" s="65"/>
      <c r="D23" s="70"/>
      <c r="E23" s="56"/>
      <c r="F23" s="71" t="s">
        <v>1452</v>
      </c>
      <c r="G23" s="72">
        <f>'25装'!C45/1000</f>
        <v>34.652</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57494.94492</v>
      </c>
    </row>
    <row r="27" s="41" customFormat="1" spans="1:8">
      <c r="A27" s="56"/>
      <c r="B27" s="78"/>
      <c r="D27" s="78"/>
      <c r="F27" s="79"/>
      <c r="G27" s="80"/>
      <c r="H27" s="80"/>
    </row>
    <row r="28" s="41" customFormat="1" spans="1:8">
      <c r="A28" s="62" t="s">
        <v>1455</v>
      </c>
      <c r="B28" s="78"/>
      <c r="D28" s="56"/>
      <c r="F28" s="75" t="s">
        <v>1454</v>
      </c>
      <c r="G28" s="81">
        <v>35</v>
      </c>
      <c r="H28" s="75">
        <f>G28*G23</f>
        <v>1212.82</v>
      </c>
    </row>
    <row r="29" s="41" customFormat="1" spans="1:8">
      <c r="B29" s="78"/>
      <c r="D29" s="56"/>
      <c r="F29" s="82"/>
      <c r="G29" s="83"/>
      <c r="H29" s="83"/>
    </row>
    <row r="30" s="41" customFormat="1" spans="1:8">
      <c r="B30" s="78"/>
      <c r="D30" s="56" t="s">
        <v>1456</v>
      </c>
      <c r="F30" s="75" t="s">
        <v>1454</v>
      </c>
      <c r="G30" s="84">
        <f>G26*G23+H28</f>
        <v>58707.76492</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workbookViewId="0">
      <selection activeCell="A1" sqref="A1:H2"/>
    </sheetView>
  </sheetViews>
  <sheetFormatPr defaultColWidth="10" defaultRowHeight="17.6"/>
  <cols>
    <col min="1" max="1" width="20.5480769230769" style="41" customWidth="1"/>
    <col min="2" max="2" width="13.5576923076923" style="41" customWidth="1"/>
    <col min="3" max="3" width="10" style="41"/>
    <col min="4" max="4" width="6.66346153846154" style="41" customWidth="1"/>
    <col min="5" max="5" width="13.5673076923077" style="41" customWidth="1"/>
    <col min="6" max="6" width="10" style="41"/>
    <col min="7" max="7" width="9.77884615384615" style="41" customWidth="1"/>
    <col min="8" max="16384" width="10" style="41"/>
  </cols>
  <sheetData>
    <row r="1" s="41" customFormat="1" ht="14.25" customHeight="1" spans="1:13">
      <c r="A1" s="42" t="s">
        <v>581</v>
      </c>
      <c r="B1" s="42"/>
      <c r="C1" s="42"/>
      <c r="D1" s="42"/>
      <c r="E1" s="42"/>
      <c r="F1" s="42"/>
      <c r="G1" s="42"/>
      <c r="H1" s="42"/>
    </row>
    <row r="2" s="41" customFormat="1" ht="22.95" customHeight="1" spans="1:13">
      <c r="A2" s="42"/>
      <c r="B2" s="42"/>
      <c r="C2" s="42"/>
      <c r="D2" s="42"/>
      <c r="E2" s="42"/>
      <c r="F2" s="42"/>
      <c r="G2" s="42"/>
      <c r="H2" s="42"/>
    </row>
    <row r="3" s="41" customFormat="1" spans="1:13">
      <c r="A3" s="43" t="s">
        <v>1</v>
      </c>
      <c r="B3" s="43"/>
      <c r="D3" s="44"/>
      <c r="E3" s="45" t="s">
        <v>186</v>
      </c>
      <c r="F3" s="45"/>
      <c r="G3" s="45"/>
      <c r="H3" s="45"/>
    </row>
    <row r="4" s="41" customFormat="1" spans="1:13">
      <c r="A4" s="43" t="s">
        <v>3</v>
      </c>
      <c r="B4" s="43"/>
      <c r="D4" s="45" t="s">
        <v>4</v>
      </c>
    </row>
    <row r="5" s="41" customFormat="1" spans="1:13">
      <c r="A5" s="43" t="s">
        <v>5</v>
      </c>
      <c r="B5" s="43"/>
      <c r="C5" s="43"/>
      <c r="D5" s="46"/>
    </row>
    <row r="6" s="41" customFormat="1" ht="22.05" customHeight="1" spans="1:13">
      <c r="A6" s="47" t="s">
        <v>1434</v>
      </c>
      <c r="B6" s="47"/>
      <c r="C6" s="47"/>
      <c r="D6" s="47"/>
      <c r="E6" s="47"/>
      <c r="F6" s="47"/>
      <c r="G6" s="47"/>
      <c r="H6" s="47"/>
    </row>
    <row r="7" s="41" customFormat="1" ht="15" customHeight="1" spans="1:13">
      <c r="A7" s="48" t="s">
        <v>1435</v>
      </c>
      <c r="B7" s="43"/>
      <c r="C7" s="43"/>
      <c r="D7" s="46"/>
    </row>
    <row r="8" s="41" customFormat="1" ht="19.95" customHeight="1" spans="1:13">
      <c r="A8" s="49" t="s">
        <v>1436</v>
      </c>
      <c r="B8" s="50"/>
      <c r="C8" s="51"/>
      <c r="D8" s="51"/>
      <c r="E8" s="52"/>
      <c r="F8" s="53"/>
      <c r="G8" s="54"/>
      <c r="H8" s="55"/>
    </row>
    <row r="9" s="41" customFormat="1" spans="1:13">
      <c r="A9" s="56" t="s">
        <v>1437</v>
      </c>
      <c r="B9" s="57"/>
      <c r="C9" s="56"/>
      <c r="D9" s="52"/>
      <c r="E9" s="52"/>
      <c r="F9" s="56"/>
      <c r="G9" s="58"/>
      <c r="H9" s="58"/>
      <c r="M9" s="59"/>
    </row>
    <row r="10" s="41" customFormat="1" spans="1:13">
      <c r="A10" s="56" t="s">
        <v>1438</v>
      </c>
      <c r="B10" s="57"/>
      <c r="C10" s="56"/>
      <c r="D10" s="52"/>
      <c r="E10" s="52"/>
      <c r="F10" s="56"/>
      <c r="G10" s="58"/>
      <c r="H10" s="58"/>
      <c r="M10" s="59"/>
    </row>
    <row r="11" s="41" customFormat="1" spans="1:13">
      <c r="A11" s="56" t="s">
        <v>1439</v>
      </c>
      <c r="B11" s="57">
        <f>BP!M41</f>
        <v>46276</v>
      </c>
      <c r="C11" s="56"/>
      <c r="D11" s="52"/>
      <c r="E11" s="52"/>
      <c r="F11" s="56" t="s">
        <v>1440</v>
      </c>
      <c r="G11" s="58" t="str">
        <f>BP!B37</f>
        <v>EX202609-0531</v>
      </c>
      <c r="H11" s="58"/>
      <c r="M11" s="59"/>
    </row>
    <row r="12" s="41" customFormat="1" spans="1:13">
      <c r="A12" s="60"/>
      <c r="B12" s="52"/>
      <c r="C12" s="61"/>
      <c r="D12" s="52"/>
    </row>
    <row r="13" s="41" customFormat="1" spans="1:13">
      <c r="A13" s="62" t="s">
        <v>1441</v>
      </c>
      <c r="B13" s="52"/>
      <c r="C13" s="52"/>
      <c r="D13" s="52"/>
      <c r="E13" s="52"/>
      <c r="F13" s="52"/>
      <c r="G13" s="52"/>
      <c r="H13" s="52"/>
    </row>
    <row r="14" s="41" customFormat="1" spans="1:13">
      <c r="A14" s="62" t="s">
        <v>1442</v>
      </c>
      <c r="B14" s="50"/>
      <c r="C14" s="50"/>
      <c r="D14" s="50"/>
      <c r="E14" s="50"/>
      <c r="F14" s="50"/>
      <c r="G14" s="50"/>
      <c r="H14" s="50"/>
    </row>
    <row r="15" s="41" customFormat="1" spans="1:13">
      <c r="A15" s="62" t="s">
        <v>203</v>
      </c>
      <c r="B15" s="62" t="str">
        <f>BP!K7</f>
        <v>CONNEX</v>
      </c>
      <c r="C15" s="62"/>
      <c r="D15" s="62"/>
      <c r="E15" s="62"/>
      <c r="F15" s="62"/>
      <c r="G15" s="62"/>
      <c r="H15" s="62"/>
    </row>
    <row r="16" s="41" customFormat="1" spans="1:13">
      <c r="A16" s="63" t="s">
        <v>199</v>
      </c>
      <c r="B16" s="62" t="str">
        <f>IF(BP!I37="","",BP!I37)</f>
        <v>IMPERIAL ROAD HAULAGE LTD</v>
      </c>
      <c r="C16" s="62"/>
      <c r="D16" s="62"/>
      <c r="E16" s="62"/>
      <c r="F16" s="62"/>
      <c r="G16" s="62"/>
      <c r="H16" s="62"/>
    </row>
    <row r="17" s="41" customFormat="1" spans="1:8">
      <c r="A17" s="63" t="s">
        <v>196</v>
      </c>
      <c r="B17" s="63" t="str">
        <f>IF(BP!G37="","",BP!G37)</f>
        <v>HASSAN OMAR</v>
      </c>
      <c r="C17" s="63"/>
      <c r="D17" s="63"/>
      <c r="E17" s="63"/>
      <c r="F17" s="63"/>
      <c r="G17" s="63"/>
      <c r="H17" s="63"/>
    </row>
    <row r="18" s="41" customFormat="1" ht="19.95" customHeight="1" spans="1:8">
      <c r="A18" s="62" t="s">
        <v>1443</v>
      </c>
      <c r="B18" s="64" t="s">
        <v>1444</v>
      </c>
      <c r="C18" s="65"/>
      <c r="D18" s="66"/>
      <c r="F18" s="56"/>
      <c r="G18" s="62"/>
    </row>
    <row r="19" s="41" customFormat="1" ht="19.95" customHeight="1" spans="1:8">
      <c r="A19" s="62" t="s">
        <v>1445</v>
      </c>
      <c r="B19" s="64"/>
      <c r="C19" s="65" t="str">
        <f>IF(BP!C37="","",BP!C37)</f>
        <v>T412EEG</v>
      </c>
      <c r="D19" s="66"/>
      <c r="F19" s="56"/>
      <c r="G19" s="62"/>
    </row>
    <row r="20" s="41" customFormat="1" ht="19.95" customHeight="1" spans="1:8">
      <c r="A20" s="63" t="s">
        <v>194</v>
      </c>
      <c r="B20" s="64"/>
      <c r="C20" s="65" t="str">
        <f>IF(BP!D37="","",BP!D37)</f>
        <v>T826EFK</v>
      </c>
      <c r="D20" s="66"/>
      <c r="E20" s="67" t="s">
        <v>1446</v>
      </c>
      <c r="F20" s="67"/>
      <c r="G20" s="62" t="str">
        <f>IF(BP!E37="","",BP!E37)</f>
        <v>NA</v>
      </c>
    </row>
    <row r="21" s="41" customFormat="1" ht="18" customHeight="1" spans="1:8">
      <c r="A21" s="63" t="s">
        <v>1447</v>
      </c>
      <c r="B21" s="50"/>
      <c r="C21" s="58" t="str">
        <f>IF(BP!F37="","",BP!F37)</f>
        <v>NA</v>
      </c>
      <c r="D21" s="68"/>
      <c r="E21" s="56"/>
      <c r="F21" s="56"/>
      <c r="G21" s="69"/>
      <c r="H21" s="69"/>
    </row>
    <row r="22" s="41" customFormat="1" ht="18" customHeight="1" spans="1:8">
      <c r="A22" s="62" t="s">
        <v>1448</v>
      </c>
      <c r="B22" s="50">
        <f>BP!K37</f>
        <v>21</v>
      </c>
      <c r="C22" s="65" t="s">
        <v>1449</v>
      </c>
      <c r="D22" s="70"/>
      <c r="E22" s="56"/>
      <c r="F22" s="71" t="s">
        <v>1450</v>
      </c>
      <c r="G22" s="72">
        <f>G23+B22*0.003</f>
        <v>30.648</v>
      </c>
      <c r="H22" s="56" t="s">
        <v>1451</v>
      </c>
    </row>
    <row r="23" s="41" customFormat="1" spans="1:8">
      <c r="B23" s="50"/>
      <c r="C23" s="65"/>
      <c r="D23" s="70"/>
      <c r="E23" s="56"/>
      <c r="F23" s="71" t="s">
        <v>1452</v>
      </c>
      <c r="G23" s="72">
        <f>'26装'!C41/1000</f>
        <v>30.585</v>
      </c>
      <c r="H23" s="56" t="s">
        <v>1451</v>
      </c>
    </row>
    <row r="24" s="41" customFormat="1" spans="1:8">
      <c r="B24" s="50"/>
      <c r="C24" s="65"/>
      <c r="D24" s="70"/>
      <c r="E24" s="56"/>
      <c r="F24" s="65"/>
      <c r="G24" s="70"/>
      <c r="H24" s="56"/>
    </row>
    <row r="25" s="41" customFormat="1" spans="1:8">
      <c r="B25" s="56"/>
      <c r="C25" s="56"/>
      <c r="D25" s="56"/>
      <c r="E25" s="56"/>
      <c r="F25" s="56"/>
      <c r="G25" s="56"/>
      <c r="H25" s="56"/>
    </row>
    <row r="26" s="41" customFormat="1" spans="1:8">
      <c r="A26" s="73"/>
      <c r="B26" s="74"/>
      <c r="D26" s="62" t="s">
        <v>1453</v>
      </c>
      <c r="F26" s="75" t="s">
        <v>1454</v>
      </c>
      <c r="G26" s="76">
        <v>1659.21</v>
      </c>
      <c r="H26" s="77">
        <f>G26*G23</f>
        <v>50746.93785</v>
      </c>
    </row>
    <row r="27" s="41" customFormat="1" spans="1:8">
      <c r="A27" s="56"/>
      <c r="B27" s="78"/>
      <c r="D27" s="78"/>
      <c r="F27" s="79"/>
      <c r="G27" s="80"/>
      <c r="H27" s="80"/>
    </row>
    <row r="28" s="41" customFormat="1" spans="1:8">
      <c r="A28" s="62" t="s">
        <v>1455</v>
      </c>
      <c r="B28" s="78"/>
      <c r="D28" s="56"/>
      <c r="F28" s="75" t="s">
        <v>1454</v>
      </c>
      <c r="G28" s="81">
        <v>35</v>
      </c>
      <c r="H28" s="75">
        <f>G28*G23</f>
        <v>1070.475</v>
      </c>
    </row>
    <row r="29" s="41" customFormat="1" spans="1:8">
      <c r="B29" s="78"/>
      <c r="D29" s="56"/>
      <c r="F29" s="82"/>
      <c r="G29" s="83"/>
      <c r="H29" s="83"/>
    </row>
    <row r="30" s="41" customFormat="1" spans="1:8">
      <c r="B30" s="78"/>
      <c r="D30" s="56" t="s">
        <v>1456</v>
      </c>
      <c r="F30" s="75" t="s">
        <v>1454</v>
      </c>
      <c r="G30" s="84">
        <f>G26*G23+H28</f>
        <v>51817.41285</v>
      </c>
      <c r="H30" s="85"/>
    </row>
    <row r="31" s="41" customFormat="1" spans="1:8">
      <c r="A31" s="56"/>
      <c r="B31" s="56"/>
      <c r="C31" s="56"/>
      <c r="D31" s="56"/>
      <c r="E31" s="56"/>
      <c r="F31" s="56"/>
      <c r="G31" s="56"/>
      <c r="H31" s="86"/>
    </row>
    <row r="32" s="41" customFormat="1" spans="1:8">
      <c r="A32" s="56"/>
      <c r="B32" s="56"/>
      <c r="C32" s="56"/>
      <c r="D32" s="56"/>
      <c r="E32" s="56"/>
      <c r="F32" s="56"/>
      <c r="G32" s="56"/>
      <c r="H32" s="86"/>
    </row>
    <row r="33" s="41" customFormat="1" spans="1:8">
      <c r="A33" s="56"/>
      <c r="B33" s="56"/>
      <c r="C33" s="56"/>
      <c r="D33" s="56"/>
      <c r="E33" s="56"/>
      <c r="F33" s="56"/>
      <c r="G33" s="56"/>
      <c r="H33" s="86"/>
    </row>
    <row r="34" s="41" customFormat="1" spans="1:8">
      <c r="A34" s="87"/>
      <c r="B34" s="87"/>
      <c r="C34" s="56"/>
      <c r="D34" s="56"/>
      <c r="E34" s="87"/>
      <c r="F34" s="87"/>
      <c r="G34" s="87"/>
      <c r="H34" s="56"/>
    </row>
    <row r="35" s="41" customFormat="1" spans="1:8">
      <c r="A35" s="88" t="s">
        <v>1457</v>
      </c>
      <c r="B35" s="50"/>
      <c r="C35" s="50"/>
      <c r="D35" s="56"/>
      <c r="E35" s="88" t="s">
        <v>1458</v>
      </c>
      <c r="F35" s="50"/>
      <c r="G35" s="50"/>
      <c r="H35" s="56"/>
    </row>
  </sheetData>
  <mergeCells count="14">
    <mergeCell ref="A3:B3"/>
    <mergeCell ref="E3:H3"/>
    <mergeCell ref="A4:B4"/>
    <mergeCell ref="D4:H4"/>
    <mergeCell ref="A5:C5"/>
    <mergeCell ref="A6:H6"/>
    <mergeCell ref="G11:H11"/>
    <mergeCell ref="A14:H14"/>
    <mergeCell ref="E20:F20"/>
    <mergeCell ref="F27:H27"/>
    <mergeCell ref="G30:H30"/>
    <mergeCell ref="A35:C35"/>
    <mergeCell ref="E35:G35"/>
    <mergeCell ref="A1:H2"/>
  </mergeCells>
  <pageMargins left="0.7" right="0.7" top="0.75" bottom="0.75" header="0.3" footer="0.3"/>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BP!K12</f>
        <v>22</v>
      </c>
      <c r="F8" s="7"/>
      <c r="G8" s="7" t="s">
        <v>1474</v>
      </c>
      <c r="H8" s="9">
        <f>BP!M12</f>
        <v>30.653</v>
      </c>
      <c r="I8" s="10" t="s">
        <v>1475</v>
      </c>
    </row>
    <row r="9" ht="20" customHeight="1" spans="1:9">
      <c r="A9" s="7"/>
      <c r="B9" s="11" t="str">
        <f>BP!B12</f>
        <v>EX202609-0506</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IF(BP!G12="","",BP!G12)</f>
        <v>OMARY HAMISI</v>
      </c>
      <c r="C13" s="9"/>
      <c r="D13" s="7" t="s">
        <v>1480</v>
      </c>
      <c r="E13" s="7"/>
      <c r="F13" s="13" t="str">
        <f>IF(BP!C12="","",BP!C12)</f>
        <v>T641EKD</v>
      </c>
      <c r="G13" s="13"/>
      <c r="H13" s="13"/>
      <c r="I13" s="10"/>
    </row>
    <row r="14" ht="22.5" customHeight="1" spans="1:9">
      <c r="A14" s="12" t="s">
        <v>1481</v>
      </c>
      <c r="B14" s="12"/>
      <c r="C14" s="12"/>
      <c r="D14" s="7"/>
      <c r="E14" s="7"/>
      <c r="F14" s="14" t="str">
        <f>IF(BP!D12="","",BP!D12)</f>
        <v>T560EKD</v>
      </c>
      <c r="G14" s="14"/>
      <c r="H14" s="14"/>
      <c r="I14" s="10"/>
    </row>
    <row r="15" ht="22.5" customHeight="1" spans="1:9">
      <c r="A15" s="12" t="s">
        <v>1482</v>
      </c>
      <c r="B15" s="12"/>
      <c r="C15" s="12"/>
      <c r="D15" s="7"/>
      <c r="E15" s="7"/>
      <c r="F15" s="15" t="str">
        <f>IF(BP!E12="","",BP!E12)</f>
        <v>NA</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BP!K13</f>
        <v>26</v>
      </c>
      <c r="F8" s="7"/>
      <c r="G8" s="7" t="s">
        <v>1474</v>
      </c>
      <c r="H8" s="9">
        <f>BP!M13</f>
        <v>30.572</v>
      </c>
      <c r="I8" s="10" t="s">
        <v>1475</v>
      </c>
    </row>
    <row r="9" ht="20" customHeight="1" spans="1:9">
      <c r="A9" s="7"/>
      <c r="B9" s="11" t="str">
        <f>BP!B13</f>
        <v>EX202609-0507</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IF(BP!G13="","",BP!G13)</f>
        <v>IDDI IBRAHIMU</v>
      </c>
      <c r="C13" s="9"/>
      <c r="D13" s="7" t="s">
        <v>1480</v>
      </c>
      <c r="E13" s="7"/>
      <c r="F13" s="13" t="str">
        <f>IF(BP!C13="","",BP!C13)</f>
        <v>T963ERN</v>
      </c>
      <c r="G13" s="13"/>
      <c r="H13" s="13"/>
      <c r="I13" s="10"/>
    </row>
    <row r="14" ht="22.5" customHeight="1" spans="1:9">
      <c r="A14" s="12" t="s">
        <v>1481</v>
      </c>
      <c r="B14" s="12"/>
      <c r="C14" s="12"/>
      <c r="D14" s="7"/>
      <c r="E14" s="7"/>
      <c r="F14" s="14" t="str">
        <f>IF(BP!D13="","",BP!D13)</f>
        <v>T918ERX</v>
      </c>
      <c r="G14" s="14"/>
      <c r="H14" s="14"/>
      <c r="I14" s="10"/>
    </row>
    <row r="15" ht="22.5" customHeight="1" spans="1:9">
      <c r="A15" s="12" t="s">
        <v>1482</v>
      </c>
      <c r="B15" s="12"/>
      <c r="C15" s="12"/>
      <c r="D15" s="7"/>
      <c r="E15" s="7"/>
      <c r="F15" s="15" t="str">
        <f>IF(BP!E13="","",BP!E13)</f>
        <v>NA</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BP!K14</f>
        <v>23</v>
      </c>
      <c r="F8" s="7"/>
      <c r="G8" s="7" t="s">
        <v>1474</v>
      </c>
      <c r="H8" s="9">
        <f>BP!M14</f>
        <v>30.581</v>
      </c>
      <c r="I8" s="10" t="s">
        <v>1475</v>
      </c>
    </row>
    <row r="9" ht="20" customHeight="1" spans="1:9">
      <c r="A9" s="7"/>
      <c r="B9" s="11" t="str">
        <f>BP!B14</f>
        <v>EX202609-0508</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IF(BP!G14="","",BP!G14)</f>
        <v>JOHN ANDREW</v>
      </c>
      <c r="C13" s="9"/>
      <c r="D13" s="7" t="s">
        <v>1480</v>
      </c>
      <c r="E13" s="7"/>
      <c r="F13" s="13" t="str">
        <f>IF(BP!C14="","",BP!C14)</f>
        <v>T688ERQ</v>
      </c>
      <c r="G13" s="13"/>
      <c r="H13" s="13"/>
      <c r="I13" s="10"/>
    </row>
    <row r="14" ht="22.5" customHeight="1" spans="1:9">
      <c r="A14" s="12" t="s">
        <v>1481</v>
      </c>
      <c r="B14" s="12"/>
      <c r="C14" s="12"/>
      <c r="D14" s="7"/>
      <c r="E14" s="7"/>
      <c r="F14" s="14" t="str">
        <f>IF(BP!D14="","",BP!D14)</f>
        <v>T281ERY</v>
      </c>
      <c r="G14" s="14"/>
      <c r="H14" s="14"/>
      <c r="I14" s="10"/>
    </row>
    <row r="15" ht="22.5" customHeight="1" spans="1:9">
      <c r="A15" s="12" t="s">
        <v>1482</v>
      </c>
      <c r="B15" s="12"/>
      <c r="C15" s="12"/>
      <c r="D15" s="7"/>
      <c r="E15" s="7"/>
      <c r="F15" s="15" t="str">
        <f>IF(BP!E14="","",BP!E14)</f>
        <v>NA</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BP!K15</f>
        <v>21</v>
      </c>
      <c r="F8" s="7"/>
      <c r="G8" s="7" t="s">
        <v>1474</v>
      </c>
      <c r="H8" s="9">
        <f>BP!M15</f>
        <v>30.587</v>
      </c>
      <c r="I8" s="10" t="s">
        <v>1475</v>
      </c>
    </row>
    <row r="9" ht="20" customHeight="1" spans="1:9">
      <c r="A9" s="7"/>
      <c r="B9" s="11" t="str">
        <f>BP!B15</f>
        <v>EX202609-0509</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IF(BP!G15="","",BP!G15)</f>
        <v>ALLY KITOSI</v>
      </c>
      <c r="C13" s="9"/>
      <c r="D13" s="7" t="s">
        <v>1480</v>
      </c>
      <c r="E13" s="7"/>
      <c r="F13" s="13" t="str">
        <f>IF(BP!C15="","",BP!C15)</f>
        <v>T615EFE</v>
      </c>
      <c r="G13" s="13"/>
      <c r="H13" s="13"/>
      <c r="I13" s="10"/>
    </row>
    <row r="14" ht="22.5" customHeight="1" spans="1:9">
      <c r="A14" s="12" t="s">
        <v>1481</v>
      </c>
      <c r="B14" s="12"/>
      <c r="C14" s="12"/>
      <c r="D14" s="7"/>
      <c r="E14" s="7"/>
      <c r="F14" s="14" t="str">
        <f>IF(BP!D15="","",BP!D15)</f>
        <v>T881EFH</v>
      </c>
      <c r="G14" s="14"/>
      <c r="H14" s="14"/>
      <c r="I14" s="10"/>
    </row>
    <row r="15" ht="22.5" customHeight="1" spans="1:9">
      <c r="A15" s="12" t="s">
        <v>1482</v>
      </c>
      <c r="B15" s="12"/>
      <c r="C15" s="12"/>
      <c r="D15" s="7"/>
      <c r="E15" s="7"/>
      <c r="F15" s="15" t="str">
        <f>IF(BP!E15="","",BP!E15)</f>
        <v>NA</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BP!K16</f>
        <v>20</v>
      </c>
      <c r="F8" s="7"/>
      <c r="G8" s="7" t="s">
        <v>1474</v>
      </c>
      <c r="H8" s="9">
        <f>BP!M16</f>
        <v>29.536</v>
      </c>
      <c r="I8" s="10" t="s">
        <v>1475</v>
      </c>
    </row>
    <row r="9" ht="20" customHeight="1" spans="1:9">
      <c r="A9" s="7"/>
      <c r="B9" s="11" t="str">
        <f>BP!B16</f>
        <v>EX202609-0510</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IF(BP!G16="","",BP!G16)</f>
        <v> NICHOLAUS LISAKAFU</v>
      </c>
      <c r="C13" s="9"/>
      <c r="D13" s="7" t="s">
        <v>1480</v>
      </c>
      <c r="E13" s="7"/>
      <c r="F13" s="13" t="str">
        <f>IF(BP!C16="","",BP!C16)</f>
        <v>T284EEY</v>
      </c>
      <c r="G13" s="13"/>
      <c r="H13" s="13"/>
      <c r="I13" s="10"/>
    </row>
    <row r="14" ht="22.5" customHeight="1" spans="1:9">
      <c r="A14" s="12" t="s">
        <v>1481</v>
      </c>
      <c r="B14" s="12"/>
      <c r="C14" s="12"/>
      <c r="D14" s="7"/>
      <c r="E14" s="7"/>
      <c r="F14" s="14" t="str">
        <f>IF(BP!D16="","",BP!D16)</f>
        <v>T634EEZ</v>
      </c>
      <c r="G14" s="14"/>
      <c r="H14" s="14"/>
      <c r="I14" s="10"/>
    </row>
    <row r="15" ht="22.5" customHeight="1" spans="1:9">
      <c r="A15" s="12" t="s">
        <v>1482</v>
      </c>
      <c r="B15" s="12"/>
      <c r="C15" s="12"/>
      <c r="D15" s="7"/>
      <c r="E15" s="7"/>
      <c r="F15" s="15" t="str">
        <f>IF(BP!E16="","",BP!E16)</f>
        <v>NA</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BP!K17</f>
        <v>22</v>
      </c>
      <c r="F8" s="7"/>
      <c r="G8" s="7" t="s">
        <v>1474</v>
      </c>
      <c r="H8" s="9">
        <f>BP!M17</f>
        <v>31.627</v>
      </c>
      <c r="I8" s="10" t="s">
        <v>1475</v>
      </c>
    </row>
    <row r="9" ht="20" customHeight="1" spans="1:9">
      <c r="A9" s="7"/>
      <c r="B9" s="11" t="str">
        <f>BP!B17</f>
        <v>EX202609-0511</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IF(BP!G17="","",BP!G17)</f>
        <v>MSANGI SULEMANI</v>
      </c>
      <c r="C13" s="9"/>
      <c r="D13" s="7" t="s">
        <v>1480</v>
      </c>
      <c r="E13" s="7"/>
      <c r="F13" s="13" t="str">
        <f>IF(BP!C17="","",BP!C17)</f>
        <v>T994EKU</v>
      </c>
      <c r="G13" s="13"/>
      <c r="H13" s="13"/>
      <c r="I13" s="10"/>
    </row>
    <row r="14" ht="22.5" customHeight="1" spans="1:9">
      <c r="A14" s="12" t="s">
        <v>1481</v>
      </c>
      <c r="B14" s="12"/>
      <c r="C14" s="12"/>
      <c r="D14" s="7"/>
      <c r="E14" s="7"/>
      <c r="F14" s="14" t="str">
        <f>IF(BP!D17="","",BP!D17)</f>
        <v>T236EKS</v>
      </c>
      <c r="G14" s="14"/>
      <c r="H14" s="14"/>
      <c r="I14" s="10"/>
    </row>
    <row r="15" ht="22.5" customHeight="1" spans="1:9">
      <c r="A15" s="12" t="s">
        <v>1482</v>
      </c>
      <c r="B15" s="12"/>
      <c r="C15" s="12"/>
      <c r="D15" s="7"/>
      <c r="E15" s="7"/>
      <c r="F15" s="15" t="str">
        <f>IF(BP!E17="","",BP!E17)</f>
        <v>NA</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4" spans="1:9">
      <c r="A1" s="1" t="s">
        <v>1459</v>
      </c>
    </row>
    <row r="2" ht="18" spans="1:9">
      <c r="A2" s="2" t="s">
        <v>1460</v>
      </c>
    </row>
    <row r="3" ht="32" customHeight="1" spans="1:9">
      <c r="A3" s="3" t="s">
        <v>1461</v>
      </c>
      <c r="B3" s="3"/>
      <c r="C3" s="3"/>
      <c r="D3" s="3"/>
      <c r="E3" s="3"/>
      <c r="F3" s="3"/>
      <c r="G3" s="3"/>
      <c r="H3" s="3"/>
      <c r="I3" s="3"/>
    </row>
    <row r="4" ht="32" customHeight="1" spans="1:9">
      <c r="A4" s="3" t="s">
        <v>1462</v>
      </c>
      <c r="B4" s="3"/>
      <c r="C4" s="3"/>
      <c r="D4" s="3"/>
      <c r="E4" s="3"/>
      <c r="F4" s="3"/>
      <c r="G4" s="3"/>
      <c r="H4" s="3"/>
      <c r="I4" s="3"/>
    </row>
    <row r="5" ht="18" spans="1:9">
      <c r="A5" s="4" t="s">
        <v>1463</v>
      </c>
      <c r="B5" s="4"/>
      <c r="C5" s="4"/>
      <c r="D5" s="4"/>
      <c r="E5" s="4"/>
      <c r="F5" s="4"/>
      <c r="G5" s="4"/>
      <c r="H5" s="4"/>
      <c r="I5" s="4"/>
    </row>
    <row r="6" ht="42" customHeight="1" spans="1:9">
      <c r="A6" s="5" t="s">
        <v>1464</v>
      </c>
      <c r="B6" s="5"/>
      <c r="C6" s="5"/>
      <c r="D6" s="5"/>
      <c r="E6" s="5"/>
      <c r="F6" s="5"/>
      <c r="G6" s="5"/>
      <c r="H6" s="5"/>
      <c r="I6" s="5"/>
    </row>
    <row r="7" ht="42" customHeight="1" spans="1:9">
      <c r="A7" s="6" t="s">
        <v>1465</v>
      </c>
      <c r="B7" s="6" t="s">
        <v>1466</v>
      </c>
      <c r="C7" s="7" t="s">
        <v>1467</v>
      </c>
      <c r="D7" s="7"/>
      <c r="E7" s="6" t="s">
        <v>1468</v>
      </c>
      <c r="F7" s="7"/>
      <c r="G7" s="6" t="s">
        <v>1469</v>
      </c>
      <c r="H7" s="6" t="s">
        <v>1470</v>
      </c>
      <c r="I7" s="7" t="s">
        <v>1471</v>
      </c>
    </row>
    <row r="8" ht="30" customHeight="1" spans="1:9">
      <c r="A8" s="7">
        <v>1</v>
      </c>
      <c r="B8" s="8" t="s">
        <v>1472</v>
      </c>
      <c r="C8" s="7" t="s">
        <v>1473</v>
      </c>
      <c r="D8" s="7"/>
      <c r="E8" s="7">
        <f>BP!K18</f>
        <v>24</v>
      </c>
      <c r="F8" s="7"/>
      <c r="G8" s="7" t="s">
        <v>1474</v>
      </c>
      <c r="H8" s="9">
        <f>BP!M18</f>
        <v>33.583</v>
      </c>
      <c r="I8" s="10" t="s">
        <v>1475</v>
      </c>
    </row>
    <row r="9" ht="20" customHeight="1" spans="1:9">
      <c r="A9" s="7"/>
      <c r="B9" s="11" t="str">
        <f>BP!B18</f>
        <v>EX202609-0512</v>
      </c>
      <c r="C9" s="7"/>
      <c r="D9" s="7"/>
      <c r="E9" s="7"/>
      <c r="F9" s="7"/>
      <c r="G9" s="7"/>
      <c r="H9" s="9"/>
      <c r="I9" s="10"/>
    </row>
    <row r="10" ht="45" customHeight="1" spans="1:9">
      <c r="A10" s="12" t="s">
        <v>1476</v>
      </c>
      <c r="B10" s="12"/>
      <c r="C10" s="12"/>
      <c r="D10" s="12"/>
      <c r="E10" s="12"/>
      <c r="F10" s="12"/>
      <c r="G10" s="12"/>
      <c r="H10" s="12"/>
      <c r="I10" s="10"/>
    </row>
    <row r="11" ht="45" customHeight="1" spans="1:9">
      <c r="A11" s="12" t="s">
        <v>1477</v>
      </c>
      <c r="B11" s="12"/>
      <c r="C11" s="12"/>
      <c r="D11" s="12"/>
      <c r="E11" s="12"/>
      <c r="F11" s="12"/>
      <c r="G11" s="12"/>
      <c r="H11" s="12"/>
      <c r="I11" s="10"/>
    </row>
    <row r="12" ht="45" customHeight="1" spans="1:9">
      <c r="A12" s="12" t="s">
        <v>1478</v>
      </c>
      <c r="B12" s="12"/>
      <c r="C12" s="12"/>
      <c r="D12" s="12"/>
      <c r="E12" s="12"/>
      <c r="F12" s="12"/>
      <c r="G12" s="12"/>
      <c r="H12" s="12"/>
      <c r="I12" s="10"/>
    </row>
    <row r="13" ht="45" customHeight="1" spans="1:9">
      <c r="A13" s="12" t="s">
        <v>1479</v>
      </c>
      <c r="B13" s="9" t="str">
        <f>IF(BP!G18="","",BP!G18)</f>
        <v>GRESTEN MWEEMBA</v>
      </c>
      <c r="C13" s="9"/>
      <c r="D13" s="7" t="s">
        <v>1480</v>
      </c>
      <c r="E13" s="7"/>
      <c r="F13" s="13" t="str">
        <f>IF(BP!C18="","",BP!C18)</f>
        <v>FWH557L</v>
      </c>
      <c r="G13" s="13"/>
      <c r="H13" s="13"/>
      <c r="I13" s="10"/>
    </row>
    <row r="14" ht="22.5" customHeight="1" spans="1:9">
      <c r="A14" s="12" t="s">
        <v>1481</v>
      </c>
      <c r="B14" s="12"/>
      <c r="C14" s="12"/>
      <c r="D14" s="7"/>
      <c r="E14" s="7"/>
      <c r="F14" s="14" t="str">
        <f>IF(BP!D18="","",BP!D18)</f>
        <v>FPC417L</v>
      </c>
      <c r="G14" s="14"/>
      <c r="H14" s="14"/>
      <c r="I14" s="10"/>
    </row>
    <row r="15" ht="22.5" customHeight="1" spans="1:9">
      <c r="A15" s="12" t="s">
        <v>1482</v>
      </c>
      <c r="B15" s="12"/>
      <c r="C15" s="12"/>
      <c r="D15" s="7"/>
      <c r="E15" s="7"/>
      <c r="F15" s="15" t="str">
        <f>IF(BP!E18="","",BP!E18)</f>
        <v>FPC421L</v>
      </c>
      <c r="G15" s="15"/>
      <c r="H15" s="15"/>
      <c r="I15" s="10"/>
    </row>
    <row r="16" ht="60" customHeight="1" spans="1:9">
      <c r="A16" s="16" t="s">
        <v>1483</v>
      </c>
      <c r="B16" s="12"/>
      <c r="C16" s="17" t="s">
        <v>1484</v>
      </c>
      <c r="D16" s="9"/>
      <c r="E16" s="12"/>
      <c r="F16" s="12"/>
      <c r="G16" s="12"/>
      <c r="H16" s="12"/>
      <c r="I16" s="10"/>
    </row>
    <row r="17" ht="60" customHeight="1" spans="1:9">
      <c r="A17" s="16" t="s">
        <v>1485</v>
      </c>
      <c r="B17" s="18"/>
      <c r="C17" s="17" t="s">
        <v>1486</v>
      </c>
      <c r="D17" s="9"/>
      <c r="E17" s="18" t="s">
        <v>1487</v>
      </c>
      <c r="F17" s="18"/>
      <c r="G17" s="18"/>
      <c r="H17" s="18"/>
      <c r="I17" s="10"/>
    </row>
    <row r="18" ht="27.75" customHeight="1" spans="1:9">
      <c r="A18" s="7" t="s">
        <v>1488</v>
      </c>
      <c r="B18" s="16" t="s">
        <v>1489</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7.6"/>
  <cols>
    <col min="1" max="1" width="11.2692307692308" style="19" customWidth="1"/>
    <col min="2" max="2" width="17.3653846153846" style="19" customWidth="1"/>
    <col min="3" max="3" width="8.73076923076923" style="19"/>
    <col min="4" max="4" width="6.91346153846154" style="19" customWidth="1"/>
    <col min="5" max="7" width="8.73076923076923" style="19"/>
    <col min="8" max="8" width="10.6346153846154" style="19" customWidth="1"/>
    <col min="9" max="9" width="14" style="19" customWidth="1"/>
    <col min="10" max="16384" width="8.73076923076923" style="19"/>
  </cols>
  <sheetData>
    <row r="1" s="19" customFormat="1" ht="18" spans="1:9">
      <c r="A1" s="20" t="s">
        <v>1490</v>
      </c>
    </row>
    <row r="2" s="19" customFormat="1" ht="18" spans="1:9">
      <c r="A2" s="2" t="s">
        <v>1460</v>
      </c>
    </row>
    <row r="3" ht="32" customHeight="1" spans="1:9">
      <c r="A3" s="21" t="s">
        <v>1491</v>
      </c>
      <c r="B3" s="22"/>
      <c r="C3" s="22"/>
      <c r="D3" s="22"/>
      <c r="E3" s="22"/>
      <c r="F3" s="22"/>
      <c r="G3" s="22"/>
      <c r="H3" s="22"/>
      <c r="I3" s="22"/>
    </row>
    <row r="4" ht="32" customHeight="1" spans="1:9">
      <c r="A4" s="22" t="s">
        <v>1462</v>
      </c>
      <c r="B4" s="22"/>
      <c r="C4" s="22"/>
      <c r="D4" s="22"/>
      <c r="E4" s="22"/>
      <c r="F4" s="22"/>
      <c r="G4" s="22"/>
      <c r="H4" s="22"/>
      <c r="I4" s="22"/>
    </row>
    <row r="5" ht="18" spans="1:9">
      <c r="A5" s="23" t="s">
        <v>1492</v>
      </c>
      <c r="B5" s="24"/>
      <c r="C5" s="24"/>
      <c r="D5" s="24"/>
      <c r="E5" s="24"/>
      <c r="F5" s="24"/>
      <c r="G5" s="24"/>
      <c r="H5" s="24"/>
      <c r="I5" s="24"/>
    </row>
    <row r="6" ht="42" customHeight="1" spans="1:9">
      <c r="A6" s="25" t="s">
        <v>1493</v>
      </c>
      <c r="B6" s="26"/>
      <c r="C6" s="26"/>
      <c r="D6" s="26"/>
      <c r="E6" s="26"/>
      <c r="F6" s="26"/>
      <c r="G6" s="26"/>
      <c r="H6" s="26"/>
      <c r="I6" s="26"/>
    </row>
    <row r="7" ht="42" customHeight="1" spans="1:9">
      <c r="A7" s="27" t="s">
        <v>1494</v>
      </c>
      <c r="B7" s="27" t="s">
        <v>1495</v>
      </c>
      <c r="C7" s="27" t="s">
        <v>1496</v>
      </c>
      <c r="D7" s="28"/>
      <c r="E7" s="27" t="s">
        <v>1497</v>
      </c>
      <c r="F7" s="28"/>
      <c r="G7" s="27" t="s">
        <v>1498</v>
      </c>
      <c r="H7" s="27" t="s">
        <v>1499</v>
      </c>
      <c r="I7" s="27" t="s">
        <v>1500</v>
      </c>
    </row>
    <row r="8" ht="30" customHeight="1" spans="1:9">
      <c r="A8" s="28">
        <v>1</v>
      </c>
      <c r="B8" s="29" t="s">
        <v>1501</v>
      </c>
      <c r="C8" s="28" t="s">
        <v>1473</v>
      </c>
      <c r="D8" s="28"/>
      <c r="E8" s="28">
        <f>BP!K19</f>
        <v>24</v>
      </c>
      <c r="F8" s="28"/>
      <c r="G8" s="28" t="s">
        <v>1474</v>
      </c>
      <c r="H8" s="30">
        <f>BP!M19</f>
        <v>33.576</v>
      </c>
      <c r="I8" s="31" t="s">
        <v>1502</v>
      </c>
    </row>
    <row r="9" ht="20" customHeight="1" spans="1:9">
      <c r="A9" s="28"/>
      <c r="B9" s="32" t="str">
        <f>BP!B19</f>
        <v>EX202609-0513</v>
      </c>
      <c r="C9" s="28"/>
      <c r="D9" s="28"/>
      <c r="E9" s="28"/>
      <c r="F9" s="28"/>
      <c r="G9" s="28"/>
      <c r="H9" s="30"/>
      <c r="I9" s="33"/>
    </row>
    <row r="10" ht="45" customHeight="1" spans="1:9">
      <c r="A10" s="34" t="s">
        <v>1503</v>
      </c>
      <c r="B10" s="35"/>
      <c r="C10" s="35"/>
      <c r="D10" s="35"/>
      <c r="E10" s="35"/>
      <c r="F10" s="35"/>
      <c r="G10" s="35"/>
      <c r="H10" s="35"/>
      <c r="I10" s="33"/>
    </row>
    <row r="11" ht="45" customHeight="1" spans="1:9">
      <c r="A11" s="34" t="s">
        <v>1504</v>
      </c>
      <c r="B11" s="35"/>
      <c r="C11" s="35"/>
      <c r="D11" s="35"/>
      <c r="E11" s="35"/>
      <c r="F11" s="35"/>
      <c r="G11" s="35"/>
      <c r="H11" s="35"/>
      <c r="I11" s="33"/>
    </row>
    <row r="12" ht="45" customHeight="1" spans="1:9">
      <c r="A12" s="34" t="s">
        <v>1505</v>
      </c>
      <c r="B12" s="35"/>
      <c r="C12" s="35"/>
      <c r="D12" s="35"/>
      <c r="E12" s="35"/>
      <c r="F12" s="35"/>
      <c r="G12" s="35"/>
      <c r="H12" s="35"/>
      <c r="I12" s="33"/>
    </row>
    <row r="13" ht="45" customHeight="1" spans="1:9">
      <c r="A13" s="34" t="s">
        <v>1506</v>
      </c>
      <c r="B13" s="30" t="str">
        <f>IF(BP!G19="","",BP!G19)</f>
        <v>BRIGHT FUNDA</v>
      </c>
      <c r="C13" s="30"/>
      <c r="D13" s="27" t="s">
        <v>1507</v>
      </c>
      <c r="E13" s="28"/>
      <c r="F13" s="36" t="str">
        <f>IF(BP!C19="","",BP!C19)</f>
        <v>FPV477L</v>
      </c>
      <c r="G13" s="36"/>
      <c r="H13" s="36"/>
      <c r="I13" s="33"/>
    </row>
    <row r="14" ht="22.5" customHeight="1" spans="1:9">
      <c r="A14" s="35" t="s">
        <v>1481</v>
      </c>
      <c r="B14" s="35"/>
      <c r="C14" s="35"/>
      <c r="D14" s="28"/>
      <c r="E14" s="28"/>
      <c r="F14" s="37" t="str">
        <f>IF(BP!D19="","",BP!D19)</f>
        <v>FMG170L</v>
      </c>
      <c r="G14" s="37"/>
      <c r="H14" s="37"/>
      <c r="I14" s="33"/>
    </row>
    <row r="15" ht="22.5" customHeight="1" spans="1:9">
      <c r="A15" s="35" t="s">
        <v>1482</v>
      </c>
      <c r="B15" s="35"/>
      <c r="C15" s="35"/>
      <c r="D15" s="28"/>
      <c r="E15" s="28"/>
      <c r="F15" s="38" t="str">
        <f>IF(BP!E19="","",BP!E19)</f>
        <v>FMG167L</v>
      </c>
      <c r="G15" s="38"/>
      <c r="H15" s="38"/>
      <c r="I15" s="33"/>
    </row>
    <row r="16" ht="60" customHeight="1" spans="1:9">
      <c r="A16" s="34" t="s">
        <v>1508</v>
      </c>
      <c r="B16" s="35"/>
      <c r="C16" s="39" t="s">
        <v>1509</v>
      </c>
      <c r="D16" s="30"/>
      <c r="E16" s="35"/>
      <c r="F16" s="35"/>
      <c r="G16" s="35"/>
      <c r="H16" s="35"/>
      <c r="I16" s="33"/>
    </row>
    <row r="17" ht="60" customHeight="1" spans="1:9">
      <c r="A17" s="34" t="s">
        <v>1510</v>
      </c>
      <c r="B17" s="40"/>
      <c r="C17" s="39" t="s">
        <v>1511</v>
      </c>
      <c r="D17" s="30"/>
      <c r="E17" s="40" t="s">
        <v>1487</v>
      </c>
      <c r="F17" s="40"/>
      <c r="G17" s="40"/>
      <c r="H17" s="40"/>
      <c r="I17" s="33"/>
    </row>
    <row r="18" ht="27.75" customHeight="1" spans="1:9">
      <c r="A18" s="27" t="s">
        <v>1512</v>
      </c>
      <c r="B18" s="34" t="s">
        <v>1513</v>
      </c>
      <c r="C18" s="35"/>
      <c r="D18" s="35"/>
      <c r="E18" s="35"/>
      <c r="F18" s="35"/>
      <c r="G18" s="35"/>
      <c r="H18" s="35"/>
      <c r="I18" s="33"/>
    </row>
    <row r="19" ht="41.25" customHeight="1" spans="1:9">
      <c r="A19" s="28"/>
      <c r="B19" s="35"/>
      <c r="C19" s="35"/>
      <c r="D19" s="35"/>
      <c r="E19" s="35"/>
      <c r="F19" s="35"/>
      <c r="G19" s="35"/>
      <c r="H19" s="35"/>
      <c r="I19" s="33"/>
    </row>
    <row r="20" ht="15.5" customHeight="1" spans="1:9">
      <c r="A20" s="28"/>
      <c r="B20" s="35"/>
      <c r="C20" s="35"/>
      <c r="D20" s="35"/>
      <c r="E20" s="35"/>
      <c r="F20" s="35"/>
      <c r="G20" s="35"/>
      <c r="H20" s="35"/>
      <c r="I20" s="33"/>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BP!K20</f>
        <v>24</v>
      </c>
      <c r="F8" s="7"/>
      <c r="G8" s="7" t="s">
        <v>1474</v>
      </c>
      <c r="H8" s="9">
        <f>BP!M20</f>
        <v>33.761</v>
      </c>
      <c r="I8" s="10" t="s">
        <v>1525</v>
      </c>
    </row>
    <row r="9" ht="20" customHeight="1" spans="1:9">
      <c r="A9" s="7"/>
      <c r="B9" s="11" t="str">
        <f>BP!B20</f>
        <v>EX202609-0514</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IF(BP!G20="","",BP!G20)</f>
        <v>MASHIKU JEREMIAH</v>
      </c>
      <c r="C13" s="9"/>
      <c r="D13" s="7" t="s">
        <v>1530</v>
      </c>
      <c r="E13" s="7"/>
      <c r="F13" s="13" t="str">
        <f>IF(BP!C20="","",BP!C20)</f>
        <v>T574ECB</v>
      </c>
      <c r="G13" s="13"/>
      <c r="H13" s="13"/>
      <c r="I13" s="10"/>
    </row>
    <row r="14" ht="22.5" customHeight="1" spans="1:9">
      <c r="A14" s="12" t="s">
        <v>1481</v>
      </c>
      <c r="B14" s="12"/>
      <c r="C14" s="12"/>
      <c r="D14" s="7"/>
      <c r="E14" s="7"/>
      <c r="F14" s="14" t="str">
        <f>IF(BP!D20="","",BP!D20)</f>
        <v>T185BDN</v>
      </c>
      <c r="G14" s="14"/>
      <c r="H14" s="14"/>
      <c r="I14" s="10"/>
    </row>
    <row r="15" ht="22.5" customHeight="1" spans="1:9">
      <c r="A15" s="12" t="s">
        <v>1482</v>
      </c>
      <c r="B15" s="12"/>
      <c r="C15" s="12"/>
      <c r="D15" s="7"/>
      <c r="E15" s="7"/>
      <c r="F15" s="15" t="str">
        <f>IF(BP!E20="","",BP!E20)</f>
        <v>T232DTC</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BP!K21</f>
        <v>25</v>
      </c>
      <c r="F8" s="7"/>
      <c r="G8" s="7" t="s">
        <v>1474</v>
      </c>
      <c r="H8" s="9">
        <f>BP!M21</f>
        <v>34.55</v>
      </c>
      <c r="I8" s="10" t="s">
        <v>1525</v>
      </c>
    </row>
    <row r="9" ht="20" customHeight="1" spans="1:9">
      <c r="A9" s="7"/>
      <c r="B9" s="11" t="str">
        <f>BP!B21</f>
        <v>EX202609-0515</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IF(BP!G21="","",BP!G21)</f>
        <v>MIKAEHAEL CHARLES</v>
      </c>
      <c r="C13" s="9"/>
      <c r="D13" s="7" t="s">
        <v>1530</v>
      </c>
      <c r="E13" s="7"/>
      <c r="F13" s="13" t="str">
        <f>IF(BP!C21="","",BP!C21)</f>
        <v>T174DYN</v>
      </c>
      <c r="G13" s="13"/>
      <c r="H13" s="13"/>
      <c r="I13" s="10"/>
    </row>
    <row r="14" ht="22.5" customHeight="1" spans="1:9">
      <c r="A14" s="12" t="s">
        <v>1481</v>
      </c>
      <c r="B14" s="12"/>
      <c r="C14" s="12"/>
      <c r="D14" s="7"/>
      <c r="E14" s="7"/>
      <c r="F14" s="14" t="str">
        <f>IF(BP!D21="","",BP!D21)</f>
        <v>T345BSA</v>
      </c>
      <c r="G14" s="14"/>
      <c r="H14" s="14"/>
      <c r="I14" s="10"/>
    </row>
    <row r="15" ht="22.5" customHeight="1" spans="1:9">
      <c r="A15" s="12" t="s">
        <v>1482</v>
      </c>
      <c r="B15" s="12"/>
      <c r="C15" s="12"/>
      <c r="D15" s="7"/>
      <c r="E15" s="7"/>
      <c r="F15" s="15" t="str">
        <f>IF(BP!E21="","",BP!E21)</f>
        <v>T254EKH</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BP!K22</f>
        <v>25</v>
      </c>
      <c r="F8" s="7"/>
      <c r="G8" s="7" t="s">
        <v>1474</v>
      </c>
      <c r="H8" s="9">
        <f>BP!M22</f>
        <v>34.603</v>
      </c>
      <c r="I8" s="10" t="s">
        <v>1525</v>
      </c>
    </row>
    <row r="9" ht="20" customHeight="1" spans="1:9">
      <c r="A9" s="7"/>
      <c r="B9" s="11" t="str">
        <f>BP!B22</f>
        <v>EX202609-0516</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IF(BP!G22="","",BP!G22)</f>
        <v>HASSAN NGUZO</v>
      </c>
      <c r="C13" s="9"/>
      <c r="D13" s="7" t="s">
        <v>1530</v>
      </c>
      <c r="E13" s="7"/>
      <c r="F13" s="13" t="str">
        <f>IF(BP!C22="","",BP!C22)</f>
        <v>T593EAL</v>
      </c>
      <c r="G13" s="13"/>
      <c r="H13" s="13"/>
      <c r="I13" s="10"/>
    </row>
    <row r="14" ht="22.5" customHeight="1" spans="1:9">
      <c r="A14" s="12" t="s">
        <v>1481</v>
      </c>
      <c r="B14" s="12"/>
      <c r="C14" s="12"/>
      <c r="D14" s="7"/>
      <c r="E14" s="7"/>
      <c r="F14" s="14" t="str">
        <f>IF(BP!D22="","",BP!D22)</f>
        <v>T147BGL</v>
      </c>
      <c r="G14" s="14"/>
      <c r="H14" s="14"/>
      <c r="I14" s="10"/>
    </row>
    <row r="15" ht="22.5" customHeight="1" spans="1:9">
      <c r="A15" s="12" t="s">
        <v>1482</v>
      </c>
      <c r="B15" s="12"/>
      <c r="C15" s="12"/>
      <c r="D15" s="7"/>
      <c r="E15" s="7"/>
      <c r="F15" s="15" t="str">
        <f>IF(BP!E22="","",BP!E22)</f>
        <v>T726EGF</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BP!K23</f>
        <v>24</v>
      </c>
      <c r="F8" s="7"/>
      <c r="G8" s="7" t="s">
        <v>1474</v>
      </c>
      <c r="H8" s="9">
        <f>BP!M23</f>
        <v>33.743</v>
      </c>
      <c r="I8" s="10" t="s">
        <v>1525</v>
      </c>
    </row>
    <row r="9" ht="20" customHeight="1" spans="1:9">
      <c r="A9" s="7"/>
      <c r="B9" s="11" t="str">
        <f>BP!B23</f>
        <v>EX202609-0517</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IF(BP!G23="","",BP!G23)</f>
        <v>MICHAEL</v>
      </c>
      <c r="C13" s="9"/>
      <c r="D13" s="7" t="s">
        <v>1530</v>
      </c>
      <c r="E13" s="7"/>
      <c r="F13" s="13" t="str">
        <f>IF(BP!C23="","",BP!C23)</f>
        <v>T546ELH</v>
      </c>
      <c r="G13" s="13"/>
      <c r="H13" s="13"/>
      <c r="I13" s="10"/>
    </row>
    <row r="14" ht="22.5" customHeight="1" spans="1:9">
      <c r="A14" s="12" t="s">
        <v>1481</v>
      </c>
      <c r="B14" s="12"/>
      <c r="C14" s="12"/>
      <c r="D14" s="7"/>
      <c r="E14" s="7"/>
      <c r="F14" s="14" t="str">
        <f>IF(BP!D23="","",BP!D23)</f>
        <v>T993DAU</v>
      </c>
      <c r="G14" s="14"/>
      <c r="H14" s="14"/>
      <c r="I14" s="10"/>
    </row>
    <row r="15" ht="22.5" customHeight="1" spans="1:9">
      <c r="A15" s="12" t="s">
        <v>1482</v>
      </c>
      <c r="B15" s="12"/>
      <c r="C15" s="12"/>
      <c r="D15" s="7"/>
      <c r="E15" s="7"/>
      <c r="F15" s="15" t="str">
        <f>IF(BP!E23="","",BP!E23)</f>
        <v>T228DTC</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BP!K24</f>
        <v>24</v>
      </c>
      <c r="F8" s="7"/>
      <c r="G8" s="7" t="s">
        <v>1474</v>
      </c>
      <c r="H8" s="9">
        <f>BP!M24</f>
        <v>33.594</v>
      </c>
      <c r="I8" s="10" t="s">
        <v>1525</v>
      </c>
    </row>
    <row r="9" ht="20" customHeight="1" spans="1:9">
      <c r="A9" s="7"/>
      <c r="B9" s="11" t="str">
        <f>BP!B24</f>
        <v>EX202609-0518</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IF(BP!G24="","",BP!G24)</f>
        <v>ALEX PETER</v>
      </c>
      <c r="C13" s="9"/>
      <c r="D13" s="7" t="s">
        <v>1530</v>
      </c>
      <c r="E13" s="7"/>
      <c r="F13" s="13" t="str">
        <f>IF(BP!C24="","",BP!C24)</f>
        <v>T407DNB</v>
      </c>
      <c r="G13" s="13"/>
      <c r="H13" s="13"/>
      <c r="I13" s="10"/>
    </row>
    <row r="14" ht="22.5" customHeight="1" spans="1:9">
      <c r="A14" s="12" t="s">
        <v>1481</v>
      </c>
      <c r="B14" s="12"/>
      <c r="C14" s="12"/>
      <c r="D14" s="7"/>
      <c r="E14" s="7"/>
      <c r="F14" s="14" t="str">
        <f>IF(BP!D24="","",BP!D24)</f>
        <v>T480BRX</v>
      </c>
      <c r="G14" s="14"/>
      <c r="H14" s="14"/>
      <c r="I14" s="10"/>
    </row>
    <row r="15" ht="22.5" customHeight="1" spans="1:9">
      <c r="A15" s="12" t="s">
        <v>1482</v>
      </c>
      <c r="B15" s="12"/>
      <c r="C15" s="12"/>
      <c r="D15" s="7"/>
      <c r="E15" s="7"/>
      <c r="F15" s="15" t="str">
        <f>IF(BP!E24="","",BP!E24)</f>
        <v>T414EMV</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BP!K25</f>
        <v>25</v>
      </c>
      <c r="F8" s="7"/>
      <c r="G8" s="7" t="s">
        <v>1474</v>
      </c>
      <c r="H8" s="9">
        <f>BP!M25</f>
        <v>33.864</v>
      </c>
      <c r="I8" s="10" t="s">
        <v>1525</v>
      </c>
    </row>
    <row r="9" ht="20" customHeight="1" spans="1:9">
      <c r="A9" s="7"/>
      <c r="B9" s="11" t="str">
        <f>BP!B25</f>
        <v>EX202609-0519</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IF(BP!G25="","",BP!G25)</f>
        <v>JAPHET FIKENI KITUMA</v>
      </c>
      <c r="C13" s="9"/>
      <c r="D13" s="7" t="s">
        <v>1530</v>
      </c>
      <c r="E13" s="7"/>
      <c r="F13" s="13" t="str">
        <f>IF(BP!C25="","",BP!C25)</f>
        <v>T265ECC</v>
      </c>
      <c r="G13" s="13"/>
      <c r="H13" s="13"/>
      <c r="I13" s="10"/>
    </row>
    <row r="14" ht="22.5" customHeight="1" spans="1:9">
      <c r="A14" s="12" t="s">
        <v>1481</v>
      </c>
      <c r="B14" s="12"/>
      <c r="C14" s="12"/>
      <c r="D14" s="7"/>
      <c r="E14" s="7"/>
      <c r="F14" s="14" t="str">
        <f>IF(BP!D25="","",BP!D25)</f>
        <v>T983EBY</v>
      </c>
      <c r="G14" s="14"/>
      <c r="H14" s="14"/>
      <c r="I14" s="10"/>
    </row>
    <row r="15" ht="22.5" customHeight="1" spans="1:9">
      <c r="A15" s="12" t="s">
        <v>1482</v>
      </c>
      <c r="B15" s="12"/>
      <c r="C15" s="12"/>
      <c r="D15" s="7"/>
      <c r="E15" s="7"/>
      <c r="F15" s="15" t="str">
        <f>IF(BP!E25="","",BP!E25)</f>
        <v>T713EGF</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BP!K26</f>
        <v>23</v>
      </c>
      <c r="F8" s="7"/>
      <c r="G8" s="7" t="s">
        <v>1474</v>
      </c>
      <c r="H8" s="9">
        <f>BP!M26</f>
        <v>33.824</v>
      </c>
      <c r="I8" s="10" t="s">
        <v>1525</v>
      </c>
    </row>
    <row r="9" ht="20" customHeight="1" spans="1:9">
      <c r="A9" s="7"/>
      <c r="B9" s="11" t="str">
        <f>BP!B26</f>
        <v>EX202609-0520</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IF(BP!G26="","",BP!G26)</f>
        <v>EDIGA YORAM</v>
      </c>
      <c r="C13" s="9"/>
      <c r="D13" s="7" t="s">
        <v>1530</v>
      </c>
      <c r="E13" s="7"/>
      <c r="F13" s="13" t="str">
        <f>IF(BP!C26="","",BP!C26)</f>
        <v>T485EAL</v>
      </c>
      <c r="G13" s="13"/>
      <c r="H13" s="13"/>
      <c r="I13" s="10"/>
    </row>
    <row r="14" ht="22.5" customHeight="1" spans="1:9">
      <c r="A14" s="12" t="s">
        <v>1481</v>
      </c>
      <c r="B14" s="12"/>
      <c r="C14" s="12"/>
      <c r="D14" s="7"/>
      <c r="E14" s="7"/>
      <c r="F14" s="14" t="str">
        <f>IF(BP!D26="","",BP!D26)</f>
        <v>T331DEN</v>
      </c>
      <c r="G14" s="14"/>
      <c r="H14" s="14"/>
      <c r="I14" s="10"/>
    </row>
    <row r="15" ht="22.5" customHeight="1" spans="1:9">
      <c r="A15" s="12" t="s">
        <v>1482</v>
      </c>
      <c r="B15" s="12"/>
      <c r="C15" s="12"/>
      <c r="D15" s="7"/>
      <c r="E15" s="7"/>
      <c r="F15" s="15" t="str">
        <f>IF(BP!E26="","",BP!E26)</f>
        <v>T710EGF</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BP!K27</f>
        <v>24</v>
      </c>
      <c r="F8" s="7"/>
      <c r="G8" s="7" t="s">
        <v>1474</v>
      </c>
      <c r="H8" s="9">
        <f>BP!M27</f>
        <v>34.002</v>
      </c>
      <c r="I8" s="10" t="s">
        <v>1525</v>
      </c>
    </row>
    <row r="9" ht="20" customHeight="1" spans="1:9">
      <c r="A9" s="7"/>
      <c r="B9" s="11" t="str">
        <f>BP!B27</f>
        <v>EX202609-0521</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IF(BP!G27="","",BP!G27)</f>
        <v>ISSA MANYANGA</v>
      </c>
      <c r="C13" s="9"/>
      <c r="D13" s="7" t="s">
        <v>1530</v>
      </c>
      <c r="E13" s="7"/>
      <c r="F13" s="13" t="str">
        <f>IF(BP!C27="","",BP!C27)</f>
        <v>T177EBK</v>
      </c>
      <c r="G13" s="13"/>
      <c r="H13" s="13"/>
      <c r="I13" s="10"/>
    </row>
    <row r="14" ht="22.5" customHeight="1" spans="1:9">
      <c r="A14" s="12" t="s">
        <v>1481</v>
      </c>
      <c r="B14" s="12"/>
      <c r="C14" s="12"/>
      <c r="D14" s="7"/>
      <c r="E14" s="7"/>
      <c r="F14" s="14" t="str">
        <f>IF(BP!D27="","",BP!D27)</f>
        <v>T796BMY</v>
      </c>
      <c r="G14" s="14"/>
      <c r="H14" s="14"/>
      <c r="I14" s="10"/>
    </row>
    <row r="15" ht="22.5" customHeight="1" spans="1:9">
      <c r="A15" s="12" t="s">
        <v>1482</v>
      </c>
      <c r="B15" s="12"/>
      <c r="C15" s="12"/>
      <c r="D15" s="7"/>
      <c r="E15" s="7"/>
      <c r="F15" s="15" t="str">
        <f>IF(BP!E27="","",BP!E27)</f>
        <v>T973EHX</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BP!K28</f>
        <v>22</v>
      </c>
      <c r="F8" s="7"/>
      <c r="G8" s="7" t="s">
        <v>1474</v>
      </c>
      <c r="H8" s="9">
        <f>BP!M28</f>
        <v>29.584</v>
      </c>
      <c r="I8" s="10" t="s">
        <v>1525</v>
      </c>
    </row>
    <row r="9" ht="20" customHeight="1" spans="1:9">
      <c r="A9" s="7"/>
      <c r="B9" s="11" t="str">
        <f>BP!B28</f>
        <v>EX202609-0522</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IF(BP!G28="","",BP!G28)</f>
        <v>MIKA KISUNGWE</v>
      </c>
      <c r="C13" s="9"/>
      <c r="D13" s="7" t="s">
        <v>1530</v>
      </c>
      <c r="E13" s="7"/>
      <c r="F13" s="13" t="str">
        <f>IF(BP!C28="","",BP!C28)</f>
        <v>T952DUM</v>
      </c>
      <c r="G13" s="13"/>
      <c r="H13" s="13"/>
      <c r="I13" s="10"/>
    </row>
    <row r="14" ht="22.5" customHeight="1" spans="1:9">
      <c r="A14" s="12" t="s">
        <v>1481</v>
      </c>
      <c r="B14" s="12"/>
      <c r="C14" s="12"/>
      <c r="D14" s="7"/>
      <c r="E14" s="7"/>
      <c r="F14" s="14" t="str">
        <f>IF(BP!D28="","",BP!D28)</f>
        <v>T919ASZ</v>
      </c>
      <c r="G14" s="14"/>
      <c r="H14" s="14"/>
      <c r="I14" s="10"/>
    </row>
    <row r="15" ht="22.5" customHeight="1" spans="1:9">
      <c r="A15" s="12" t="s">
        <v>1482</v>
      </c>
      <c r="B15" s="12"/>
      <c r="C15" s="12"/>
      <c r="D15" s="7"/>
      <c r="E15" s="7"/>
      <c r="F15" s="15" t="str">
        <f>IF(BP!E28="","",BP!E28)</f>
        <v>NA</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BP!K29</f>
        <v>23</v>
      </c>
      <c r="F8" s="7"/>
      <c r="G8" s="7" t="s">
        <v>1474</v>
      </c>
      <c r="H8" s="9">
        <f>BP!M29</f>
        <v>33.661</v>
      </c>
      <c r="I8" s="10" t="s">
        <v>1525</v>
      </c>
    </row>
    <row r="9" ht="20" customHeight="1" spans="1:9">
      <c r="A9" s="7"/>
      <c r="B9" s="11" t="str">
        <f>BP!B29</f>
        <v>EX202609-0523</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IF(BP!G29="","",BP!G29)</f>
        <v>SHARIFU JUMANNE</v>
      </c>
      <c r="C13" s="9"/>
      <c r="D13" s="7" t="s">
        <v>1530</v>
      </c>
      <c r="E13" s="7"/>
      <c r="F13" s="13" t="str">
        <f>IF(BP!C29="","",BP!C29)</f>
        <v>T502DMJ</v>
      </c>
      <c r="G13" s="13"/>
      <c r="H13" s="13"/>
      <c r="I13" s="10"/>
    </row>
    <row r="14" ht="22.5" customHeight="1" spans="1:9">
      <c r="A14" s="12" t="s">
        <v>1481</v>
      </c>
      <c r="B14" s="12"/>
      <c r="C14" s="12"/>
      <c r="D14" s="7"/>
      <c r="E14" s="7"/>
      <c r="F14" s="14" t="str">
        <f>IF(BP!D29="","",BP!D29)</f>
        <v>T440CFG</v>
      </c>
      <c r="G14" s="14"/>
      <c r="H14" s="14"/>
      <c r="I14" s="10"/>
    </row>
    <row r="15" ht="22.5" customHeight="1" spans="1:9">
      <c r="A15" s="12" t="s">
        <v>1482</v>
      </c>
      <c r="B15" s="12"/>
      <c r="C15" s="12"/>
      <c r="D15" s="7"/>
      <c r="E15" s="7"/>
      <c r="F15" s="15" t="str">
        <f>IF(BP!E29="","",BP!E29)</f>
        <v>T364ELY</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BP!K30</f>
        <v>23</v>
      </c>
      <c r="F8" s="7"/>
      <c r="G8" s="7" t="s">
        <v>1474</v>
      </c>
      <c r="H8" s="9">
        <f>BP!M30</f>
        <v>32.479</v>
      </c>
      <c r="I8" s="10" t="s">
        <v>1525</v>
      </c>
    </row>
    <row r="9" ht="20" customHeight="1" spans="1:9">
      <c r="A9" s="7"/>
      <c r="B9" s="11" t="str">
        <f>BP!B30</f>
        <v>EX202609-0524</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IF(BP!G30="","",BP!G30)</f>
        <v>MUSTAFER AMIR </v>
      </c>
      <c r="C13" s="9"/>
      <c r="D13" s="7" t="s">
        <v>1530</v>
      </c>
      <c r="E13" s="7"/>
      <c r="F13" s="13" t="str">
        <f>IF(BP!C30="","",BP!C30)</f>
        <v>T540ECN</v>
      </c>
      <c r="G13" s="13"/>
      <c r="H13" s="13"/>
      <c r="I13" s="10"/>
    </row>
    <row r="14" ht="22.5" customHeight="1" spans="1:9">
      <c r="A14" s="12" t="s">
        <v>1481</v>
      </c>
      <c r="B14" s="12"/>
      <c r="C14" s="12"/>
      <c r="D14" s="7"/>
      <c r="E14" s="7"/>
      <c r="F14" s="14" t="str">
        <f>IF(BP!D30="","",BP!D30)</f>
        <v>T827ENG</v>
      </c>
      <c r="G14" s="14"/>
      <c r="H14" s="14"/>
      <c r="I14" s="10"/>
    </row>
    <row r="15" ht="22.5" customHeight="1" spans="1:9">
      <c r="A15" s="12" t="s">
        <v>1482</v>
      </c>
      <c r="B15" s="12"/>
      <c r="C15" s="12"/>
      <c r="D15" s="7"/>
      <c r="E15" s="7"/>
      <c r="F15" s="15" t="str">
        <f>IF(BP!E30="","",BP!E30)</f>
        <v>NA</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BP!K31</f>
        <v>24</v>
      </c>
      <c r="F8" s="7"/>
      <c r="G8" s="7" t="s">
        <v>1474</v>
      </c>
      <c r="H8" s="9">
        <f>BP!M31</f>
        <v>33.682</v>
      </c>
      <c r="I8" s="10" t="s">
        <v>1525</v>
      </c>
    </row>
    <row r="9" ht="20" customHeight="1" spans="1:9">
      <c r="A9" s="7"/>
      <c r="B9" s="11" t="str">
        <f>BP!B31</f>
        <v>EX202609-0525</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IF(BP!G31="","",BP!G31)</f>
        <v>CHARLES LUCAS MTENGULE</v>
      </c>
      <c r="C13" s="9"/>
      <c r="D13" s="7" t="s">
        <v>1530</v>
      </c>
      <c r="E13" s="7"/>
      <c r="F13" s="13" t="str">
        <f>IF(BP!C31="","",BP!C31)</f>
        <v>T699DRY</v>
      </c>
      <c r="G13" s="13"/>
      <c r="H13" s="13"/>
      <c r="I13" s="10"/>
    </row>
    <row r="14" ht="22.5" customHeight="1" spans="1:9">
      <c r="A14" s="12" t="s">
        <v>1481</v>
      </c>
      <c r="B14" s="12"/>
      <c r="C14" s="12"/>
      <c r="D14" s="7"/>
      <c r="E14" s="7"/>
      <c r="F14" s="14" t="str">
        <f>IF(BP!D31="","",BP!D31)</f>
        <v>T699DRY</v>
      </c>
      <c r="G14" s="14"/>
      <c r="H14" s="14"/>
      <c r="I14" s="10"/>
    </row>
    <row r="15" ht="22.5" customHeight="1" spans="1:9">
      <c r="A15" s="12" t="s">
        <v>1482</v>
      </c>
      <c r="B15" s="12"/>
      <c r="C15" s="12"/>
      <c r="D15" s="7"/>
      <c r="E15" s="7"/>
      <c r="F15" s="15" t="str">
        <f>IF(BP!E31="","",BP!E31)</f>
        <v>T207DSK</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BP!K32</f>
        <v>22</v>
      </c>
      <c r="F8" s="7"/>
      <c r="G8" s="7" t="s">
        <v>1474</v>
      </c>
      <c r="H8" s="9">
        <f>BP!M32</f>
        <v>30.584</v>
      </c>
      <c r="I8" s="10" t="s">
        <v>1525</v>
      </c>
    </row>
    <row r="9" ht="20" customHeight="1" spans="1:9">
      <c r="A9" s="7"/>
      <c r="B9" s="11" t="str">
        <f>BP!B32</f>
        <v>EX202609-0526</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IF(BP!G32="","",BP!G32)</f>
        <v>SALEHE HEMEDI </v>
      </c>
      <c r="C13" s="9"/>
      <c r="D13" s="7" t="s">
        <v>1530</v>
      </c>
      <c r="E13" s="7"/>
      <c r="F13" s="13" t="str">
        <f>IF(BP!C32="","",BP!C32)</f>
        <v>T341EPL</v>
      </c>
      <c r="G13" s="13"/>
      <c r="H13" s="13"/>
      <c r="I13" s="10"/>
    </row>
    <row r="14" ht="22.5" customHeight="1" spans="1:9">
      <c r="A14" s="12" t="s">
        <v>1481</v>
      </c>
      <c r="B14" s="12"/>
      <c r="C14" s="12"/>
      <c r="D14" s="7"/>
      <c r="E14" s="7"/>
      <c r="F14" s="14" t="str">
        <f>IF(BP!D32="","",BP!D32)</f>
        <v>T731EPJ</v>
      </c>
      <c r="G14" s="14"/>
      <c r="H14" s="14"/>
      <c r="I14" s="10"/>
    </row>
    <row r="15" ht="22.5" customHeight="1" spans="1:9">
      <c r="A15" s="12" t="s">
        <v>1482</v>
      </c>
      <c r="B15" s="12"/>
      <c r="C15" s="12"/>
      <c r="D15" s="7"/>
      <c r="E15" s="7"/>
      <c r="F15" s="15" t="str">
        <f>IF(BP!E32="","",BP!E32)</f>
        <v>NA</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BP!K33</f>
        <v>25</v>
      </c>
      <c r="F8" s="7"/>
      <c r="G8" s="7" t="s">
        <v>1474</v>
      </c>
      <c r="H8" s="9">
        <f>BP!M33</f>
        <v>33.752</v>
      </c>
      <c r="I8" s="10" t="s">
        <v>1525</v>
      </c>
    </row>
    <row r="9" ht="20" customHeight="1" spans="1:9">
      <c r="A9" s="7"/>
      <c r="B9" s="11" t="str">
        <f>BP!B33</f>
        <v>EX202609-0527</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IF(BP!G33="","",BP!G33)</f>
        <v>SALUM MUMBA</v>
      </c>
      <c r="C13" s="9"/>
      <c r="D13" s="7" t="s">
        <v>1530</v>
      </c>
      <c r="E13" s="7"/>
      <c r="F13" s="13" t="str">
        <f>IF(BP!C33="","",BP!C33)</f>
        <v>T626ECB</v>
      </c>
      <c r="G13" s="13"/>
      <c r="H13" s="13"/>
      <c r="I13" s="10"/>
    </row>
    <row r="14" ht="22.5" customHeight="1" spans="1:9">
      <c r="A14" s="12" t="s">
        <v>1481</v>
      </c>
      <c r="B14" s="12"/>
      <c r="C14" s="12"/>
      <c r="D14" s="7"/>
      <c r="E14" s="7"/>
      <c r="F14" s="14" t="str">
        <f>IF(BP!D33="","",BP!D33)</f>
        <v>T557BBE</v>
      </c>
      <c r="G14" s="14"/>
      <c r="H14" s="14"/>
      <c r="I14" s="10"/>
    </row>
    <row r="15" ht="22.5" customHeight="1" spans="1:9">
      <c r="A15" s="12" t="s">
        <v>1482</v>
      </c>
      <c r="B15" s="12"/>
      <c r="C15" s="12"/>
      <c r="D15" s="7"/>
      <c r="E15" s="7"/>
      <c r="F15" s="15" t="str">
        <f>IF(BP!E33="","",BP!E33)</f>
        <v>T236DTC</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BP!K34</f>
        <v>24</v>
      </c>
      <c r="F8" s="7"/>
      <c r="G8" s="7" t="s">
        <v>1474</v>
      </c>
      <c r="H8" s="9">
        <f>BP!M34</f>
        <v>34.69</v>
      </c>
      <c r="I8" s="10" t="s">
        <v>1525</v>
      </c>
    </row>
    <row r="9" ht="20" customHeight="1" spans="1:9">
      <c r="A9" s="7"/>
      <c r="B9" s="11" t="str">
        <f>BP!B34</f>
        <v>EX202609-0528</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IF(BP!G34="","",BP!G34)</f>
        <v>MUSTAFA OMARY</v>
      </c>
      <c r="C13" s="9"/>
      <c r="D13" s="7" t="s">
        <v>1530</v>
      </c>
      <c r="E13" s="7"/>
      <c r="F13" s="13" t="str">
        <f>IF(BP!C34="","",BP!C34)</f>
        <v>T222DFL</v>
      </c>
      <c r="G13" s="13"/>
      <c r="H13" s="13"/>
      <c r="I13" s="10"/>
    </row>
    <row r="14" ht="22.5" customHeight="1" spans="1:9">
      <c r="A14" s="12" t="s">
        <v>1481</v>
      </c>
      <c r="B14" s="12"/>
      <c r="C14" s="12"/>
      <c r="D14" s="7"/>
      <c r="E14" s="7"/>
      <c r="F14" s="14" t="str">
        <f>IF(BP!D34="","",BP!D34)</f>
        <v>T596CBD</v>
      </c>
      <c r="G14" s="14"/>
      <c r="H14" s="14"/>
      <c r="I14" s="10"/>
    </row>
    <row r="15" ht="22.5" customHeight="1" spans="1:9">
      <c r="A15" s="12" t="s">
        <v>1482</v>
      </c>
      <c r="B15" s="12"/>
      <c r="C15" s="12"/>
      <c r="D15" s="7"/>
      <c r="E15" s="7"/>
      <c r="F15" s="15" t="str">
        <f>IF(BP!E34="","",BP!E34)</f>
        <v>T429EMV</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BP!K35</f>
        <v>23</v>
      </c>
      <c r="F8" s="7"/>
      <c r="G8" s="7" t="s">
        <v>1474</v>
      </c>
      <c r="H8" s="9">
        <f>BP!M35</f>
        <v>34.27</v>
      </c>
      <c r="I8" s="10" t="s">
        <v>1525</v>
      </c>
    </row>
    <row r="9" ht="20" customHeight="1" spans="1:9">
      <c r="A9" s="7"/>
      <c r="B9" s="11" t="str">
        <f>BP!B35</f>
        <v>EX202609-0529</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IF(BP!G35="","",BP!G35)</f>
        <v>IDDI JUMA</v>
      </c>
      <c r="C13" s="9"/>
      <c r="D13" s="7" t="s">
        <v>1530</v>
      </c>
      <c r="E13" s="7"/>
      <c r="F13" s="13" t="str">
        <f>IF(BP!C35="","",BP!C35)</f>
        <v>T602DYY</v>
      </c>
      <c r="G13" s="13"/>
      <c r="H13" s="13"/>
      <c r="I13" s="10"/>
    </row>
    <row r="14" ht="22.5" customHeight="1" spans="1:9">
      <c r="A14" s="12" t="s">
        <v>1481</v>
      </c>
      <c r="B14" s="12"/>
      <c r="C14" s="12"/>
      <c r="D14" s="7"/>
      <c r="E14" s="7"/>
      <c r="F14" s="14" t="str">
        <f>IF(BP!D35="","",BP!D35)</f>
        <v>T494BRX</v>
      </c>
      <c r="G14" s="14"/>
      <c r="H14" s="14"/>
      <c r="I14" s="10"/>
    </row>
    <row r="15" ht="22.5" customHeight="1" spans="1:9">
      <c r="A15" s="12" t="s">
        <v>1482</v>
      </c>
      <c r="B15" s="12"/>
      <c r="C15" s="12"/>
      <c r="D15" s="7"/>
      <c r="E15" s="7"/>
      <c r="F15" s="15" t="str">
        <f>IF(BP!E35="","",BP!E35)</f>
        <v>T415EPH</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BP!K36</f>
        <v>25</v>
      </c>
      <c r="F8" s="7"/>
      <c r="G8" s="7" t="s">
        <v>1474</v>
      </c>
      <c r="H8" s="9">
        <f>BP!M36</f>
        <v>34.652</v>
      </c>
      <c r="I8" s="10" t="s">
        <v>1525</v>
      </c>
    </row>
    <row r="9" ht="20" customHeight="1" spans="1:9">
      <c r="A9" s="7"/>
      <c r="B9" s="11" t="str">
        <f>BP!B36</f>
        <v>EX202609-0530</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IF(BP!G36="","",BP!G36)</f>
        <v>RAMADHAN RUME</v>
      </c>
      <c r="C13" s="9"/>
      <c r="D13" s="7" t="s">
        <v>1530</v>
      </c>
      <c r="E13" s="7"/>
      <c r="F13" s="13" t="str">
        <f>IF(BP!C36="","",BP!C36)</f>
        <v>T605EGH</v>
      </c>
      <c r="G13" s="13"/>
      <c r="H13" s="13"/>
      <c r="I13" s="10"/>
    </row>
    <row r="14" ht="22.5" customHeight="1" spans="1:9">
      <c r="A14" s="12" t="s">
        <v>1481</v>
      </c>
      <c r="B14" s="12"/>
      <c r="C14" s="12"/>
      <c r="D14" s="7"/>
      <c r="E14" s="7"/>
      <c r="F14" s="14" t="str">
        <f>IF(BP!D36="","",BP!D36)</f>
        <v>T314ECC</v>
      </c>
      <c r="G14" s="14"/>
      <c r="H14" s="14"/>
      <c r="I14" s="10"/>
    </row>
    <row r="15" ht="22.5" customHeight="1" spans="1:9">
      <c r="A15" s="12" t="s">
        <v>1482</v>
      </c>
      <c r="B15" s="12"/>
      <c r="C15" s="12"/>
      <c r="D15" s="7"/>
      <c r="E15" s="7"/>
      <c r="F15" s="15" t="str">
        <f>IF(BP!E36="","",BP!E36)</f>
        <v>T980EHQ</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8.73076923076923" defaultRowHeight="16.8"/>
  <cols>
    <col min="1" max="1" width="11.2692307692308" customWidth="1"/>
    <col min="2" max="2" width="17.3653846153846" customWidth="1"/>
    <col min="4" max="4" width="6.91346153846154" customWidth="1"/>
    <col min="8" max="8" width="10.6346153846154" customWidth="1"/>
    <col min="9" max="9" width="14" customWidth="1"/>
  </cols>
  <sheetData>
    <row r="1" ht="23.2" spans="1:9">
      <c r="A1" s="1" t="s">
        <v>1514</v>
      </c>
    </row>
    <row r="2" ht="18" spans="1:9">
      <c r="A2" s="2" t="s">
        <v>1460</v>
      </c>
    </row>
    <row r="3" ht="32" customHeight="1" spans="1:9">
      <c r="A3" s="3" t="s">
        <v>1491</v>
      </c>
      <c r="B3" s="3"/>
      <c r="C3" s="3"/>
      <c r="D3" s="3"/>
      <c r="E3" s="3"/>
      <c r="F3" s="3"/>
      <c r="G3" s="3"/>
      <c r="H3" s="3"/>
      <c r="I3" s="3"/>
    </row>
    <row r="4" ht="32" customHeight="1" spans="1:9">
      <c r="A4" s="3" t="s">
        <v>1462</v>
      </c>
      <c r="B4" s="3"/>
      <c r="C4" s="3"/>
      <c r="D4" s="3"/>
      <c r="E4" s="3"/>
      <c r="F4" s="3"/>
      <c r="G4" s="3"/>
      <c r="H4" s="3"/>
      <c r="I4" s="3"/>
    </row>
    <row r="5" spans="1:9">
      <c r="A5" s="4" t="s">
        <v>1515</v>
      </c>
      <c r="B5" s="4"/>
      <c r="C5" s="4"/>
      <c r="D5" s="4"/>
      <c r="E5" s="4"/>
      <c r="F5" s="4"/>
      <c r="G5" s="4"/>
      <c r="H5" s="4"/>
      <c r="I5" s="4"/>
    </row>
    <row r="6" ht="42" customHeight="1" spans="1:9">
      <c r="A6" s="5" t="s">
        <v>1516</v>
      </c>
      <c r="B6" s="5"/>
      <c r="C6" s="5"/>
      <c r="D6" s="5"/>
      <c r="E6" s="5"/>
      <c r="F6" s="5"/>
      <c r="G6" s="5"/>
      <c r="H6" s="5"/>
      <c r="I6" s="5"/>
    </row>
    <row r="7" ht="42" customHeight="1" spans="1:9">
      <c r="A7" s="6" t="s">
        <v>1517</v>
      </c>
      <c r="B7" s="6" t="s">
        <v>1518</v>
      </c>
      <c r="C7" s="7" t="s">
        <v>1519</v>
      </c>
      <c r="D7" s="7"/>
      <c r="E7" s="6" t="s">
        <v>1520</v>
      </c>
      <c r="F7" s="7"/>
      <c r="G7" s="6" t="s">
        <v>1521</v>
      </c>
      <c r="H7" s="6" t="s">
        <v>1522</v>
      </c>
      <c r="I7" s="7" t="s">
        <v>1523</v>
      </c>
    </row>
    <row r="8" ht="30" customHeight="1" spans="1:9">
      <c r="A8" s="7">
        <v>1</v>
      </c>
      <c r="B8" s="8" t="s">
        <v>1524</v>
      </c>
      <c r="C8" s="7" t="s">
        <v>1473</v>
      </c>
      <c r="D8" s="7"/>
      <c r="E8" s="7">
        <f>BP!K37</f>
        <v>21</v>
      </c>
      <c r="F8" s="7"/>
      <c r="G8" s="7" t="s">
        <v>1474</v>
      </c>
      <c r="H8" s="9">
        <f>BP!M37</f>
        <v>30.585</v>
      </c>
      <c r="I8" s="10" t="s">
        <v>1525</v>
      </c>
    </row>
    <row r="9" ht="20" customHeight="1" spans="1:9">
      <c r="A9" s="7"/>
      <c r="B9" s="11" t="str">
        <f>BP!B37</f>
        <v>EX202609-0531</v>
      </c>
      <c r="C9" s="7"/>
      <c r="D9" s="7"/>
      <c r="E9" s="7"/>
      <c r="F9" s="7"/>
      <c r="G9" s="7"/>
      <c r="H9" s="9"/>
      <c r="I9" s="10"/>
    </row>
    <row r="10" ht="45" customHeight="1" spans="1:9">
      <c r="A10" s="12" t="s">
        <v>1526</v>
      </c>
      <c r="B10" s="12"/>
      <c r="C10" s="12"/>
      <c r="D10" s="12"/>
      <c r="E10" s="12"/>
      <c r="F10" s="12"/>
      <c r="G10" s="12"/>
      <c r="H10" s="12"/>
      <c r="I10" s="10"/>
    </row>
    <row r="11" ht="45" customHeight="1" spans="1:9">
      <c r="A11" s="12" t="s">
        <v>1527</v>
      </c>
      <c r="B11" s="12"/>
      <c r="C11" s="12"/>
      <c r="D11" s="12"/>
      <c r="E11" s="12"/>
      <c r="F11" s="12"/>
      <c r="G11" s="12"/>
      <c r="H11" s="12"/>
      <c r="I11" s="10"/>
    </row>
    <row r="12" ht="45" customHeight="1" spans="1:9">
      <c r="A12" s="12" t="s">
        <v>1528</v>
      </c>
      <c r="B12" s="12"/>
      <c r="C12" s="12"/>
      <c r="D12" s="12"/>
      <c r="E12" s="12"/>
      <c r="F12" s="12"/>
      <c r="G12" s="12"/>
      <c r="H12" s="12"/>
      <c r="I12" s="10"/>
    </row>
    <row r="13" ht="45" customHeight="1" spans="1:9">
      <c r="A13" s="12" t="s">
        <v>1529</v>
      </c>
      <c r="B13" s="9" t="str">
        <f>IF(BP!G37="","",BP!G37)</f>
        <v>HASSAN OMAR</v>
      </c>
      <c r="C13" s="9"/>
      <c r="D13" s="7" t="s">
        <v>1530</v>
      </c>
      <c r="E13" s="7"/>
      <c r="F13" s="13" t="str">
        <f>IF(BP!C37="","",BP!C37)</f>
        <v>T412EEG</v>
      </c>
      <c r="G13" s="13"/>
      <c r="H13" s="13"/>
      <c r="I13" s="10"/>
    </row>
    <row r="14" ht="22.5" customHeight="1" spans="1:9">
      <c r="A14" s="12" t="s">
        <v>1481</v>
      </c>
      <c r="B14" s="12"/>
      <c r="C14" s="12"/>
      <c r="D14" s="7"/>
      <c r="E14" s="7"/>
      <c r="F14" s="14" t="str">
        <f>IF(BP!D37="","",BP!D37)</f>
        <v>T826EFK</v>
      </c>
      <c r="G14" s="14"/>
      <c r="H14" s="14"/>
      <c r="I14" s="10"/>
    </row>
    <row r="15" ht="22.5" customHeight="1" spans="1:9">
      <c r="A15" s="12" t="s">
        <v>1482</v>
      </c>
      <c r="B15" s="12"/>
      <c r="C15" s="12"/>
      <c r="D15" s="7"/>
      <c r="E15" s="7"/>
      <c r="F15" s="15" t="str">
        <f>IF(BP!E37="","",BP!E37)</f>
        <v>NA</v>
      </c>
      <c r="G15" s="15"/>
      <c r="H15" s="15"/>
      <c r="I15" s="10"/>
    </row>
    <row r="16" ht="60" customHeight="1" spans="1:9">
      <c r="A16" s="16" t="s">
        <v>1531</v>
      </c>
      <c r="B16" s="12"/>
      <c r="C16" s="17" t="s">
        <v>1532</v>
      </c>
      <c r="D16" s="9"/>
      <c r="E16" s="12"/>
      <c r="F16" s="12"/>
      <c r="G16" s="12"/>
      <c r="H16" s="12"/>
      <c r="I16" s="10"/>
    </row>
    <row r="17" ht="60" customHeight="1" spans="1:9">
      <c r="A17" s="16" t="s">
        <v>1533</v>
      </c>
      <c r="B17" s="18"/>
      <c r="C17" s="17" t="s">
        <v>1534</v>
      </c>
      <c r="D17" s="9"/>
      <c r="E17" s="18" t="s">
        <v>1487</v>
      </c>
      <c r="F17" s="18"/>
      <c r="G17" s="18"/>
      <c r="H17" s="18"/>
      <c r="I17" s="10"/>
    </row>
    <row r="18" ht="27.75" customHeight="1" spans="1:9">
      <c r="A18" s="7" t="s">
        <v>1512</v>
      </c>
      <c r="B18" s="16" t="s">
        <v>1535</v>
      </c>
      <c r="C18" s="12"/>
      <c r="D18" s="12"/>
      <c r="E18" s="12"/>
      <c r="F18" s="12"/>
      <c r="G18" s="12"/>
      <c r="H18" s="12"/>
      <c r="I18" s="10"/>
    </row>
    <row r="19" ht="41.25" customHeight="1" spans="1:9">
      <c r="A19" s="7"/>
      <c r="B19" s="12"/>
      <c r="C19" s="12"/>
      <c r="D19" s="12"/>
      <c r="E19" s="12"/>
      <c r="F19" s="12"/>
      <c r="G19" s="12"/>
      <c r="H19" s="12"/>
      <c r="I19" s="10"/>
    </row>
    <row r="20" ht="15.5" customHeight="1" spans="1:9">
      <c r="A20" s="7"/>
      <c r="B20" s="12"/>
      <c r="C20" s="12"/>
      <c r="D20" s="12"/>
      <c r="E20" s="12"/>
      <c r="F20" s="12"/>
      <c r="G20" s="12"/>
      <c r="H20" s="12"/>
      <c r="I20" s="10"/>
    </row>
  </sheetData>
  <mergeCells count="27">
    <mergeCell ref="A3:I3"/>
    <mergeCell ref="A4:I4"/>
    <mergeCell ref="A5:I5"/>
    <mergeCell ref="A6:I6"/>
    <mergeCell ref="C7:D7"/>
    <mergeCell ref="E7:F7"/>
    <mergeCell ref="A10:H10"/>
    <mergeCell ref="A11:H11"/>
    <mergeCell ref="A12:H12"/>
    <mergeCell ref="B13:C13"/>
    <mergeCell ref="F13:H13"/>
    <mergeCell ref="F14:H14"/>
    <mergeCell ref="F15:H15"/>
    <mergeCell ref="C16:D16"/>
    <mergeCell ref="E16:H16"/>
    <mergeCell ref="C17:D17"/>
    <mergeCell ref="E17:H17"/>
    <mergeCell ref="A8:A9"/>
    <mergeCell ref="A18:A20"/>
    <mergeCell ref="G8:G9"/>
    <mergeCell ref="H8:H9"/>
    <mergeCell ref="I8:I20"/>
    <mergeCell ref="C8:D9"/>
    <mergeCell ref="E8:F9"/>
    <mergeCell ref="D13:E15"/>
    <mergeCell ref="B14:C15"/>
    <mergeCell ref="B18:H20"/>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79</vt:i4>
      </vt:variant>
    </vt:vector>
  </HeadingPairs>
  <TitlesOfParts>
    <vt:vector size="79" baseType="lpstr">
      <vt:lpstr>BP</vt:lpstr>
      <vt:lpstr>1装</vt:lpstr>
      <vt:lpstr>2装</vt:lpstr>
      <vt:lpstr>3装</vt:lpstr>
      <vt:lpstr>4装</vt:lpstr>
      <vt:lpstr>5装</vt:lpstr>
      <vt:lpstr>6装</vt:lpstr>
      <vt:lpstr>7装</vt:lpstr>
      <vt:lpstr>8装</vt:lpstr>
      <vt:lpstr>9装</vt:lpstr>
      <vt:lpstr>10装</vt:lpstr>
      <vt:lpstr>11装</vt:lpstr>
      <vt:lpstr>12装</vt:lpstr>
      <vt:lpstr>13装</vt:lpstr>
      <vt:lpstr>14装</vt:lpstr>
      <vt:lpstr>15装</vt:lpstr>
      <vt:lpstr>16装</vt:lpstr>
      <vt:lpstr>17装</vt:lpstr>
      <vt:lpstr>18装</vt:lpstr>
      <vt:lpstr>19装</vt:lpstr>
      <vt:lpstr>20装</vt:lpstr>
      <vt:lpstr>21装</vt:lpstr>
      <vt:lpstr>22装</vt:lpstr>
      <vt:lpstr>23装</vt:lpstr>
      <vt:lpstr>24装</vt:lpstr>
      <vt:lpstr>25装</vt:lpstr>
      <vt:lpstr>26装</vt:lpstr>
      <vt:lpstr>1发</vt:lpstr>
      <vt:lpstr>2发</vt:lpstr>
      <vt:lpstr>3发</vt:lpstr>
      <vt:lpstr>4发</vt:lpstr>
      <vt:lpstr>5发</vt:lpstr>
      <vt:lpstr>6发</vt:lpstr>
      <vt:lpstr>7发</vt:lpstr>
      <vt:lpstr>8发</vt:lpstr>
      <vt:lpstr>9发</vt:lpstr>
      <vt:lpstr>10发</vt:lpstr>
      <vt:lpstr>11发</vt:lpstr>
      <vt:lpstr>12发</vt:lpstr>
      <vt:lpstr>13发</vt:lpstr>
      <vt:lpstr>14发</vt:lpstr>
      <vt:lpstr>15发</vt:lpstr>
      <vt:lpstr>16发</vt:lpstr>
      <vt:lpstr>17发</vt:lpstr>
      <vt:lpstr>18发</vt:lpstr>
      <vt:lpstr>19发</vt:lpstr>
      <vt:lpstr>20发</vt:lpstr>
      <vt:lpstr>21发</vt:lpstr>
      <vt:lpstr>22发</vt:lpstr>
      <vt:lpstr>23发</vt:lpstr>
      <vt:lpstr>24发</vt:lpstr>
      <vt:lpstr>25发</vt:lpstr>
      <vt:lpstr>26发</vt:lpstr>
      <vt:lpstr>1放</vt:lpstr>
      <vt:lpstr>2放</vt:lpstr>
      <vt:lpstr>3放</vt:lpstr>
      <vt:lpstr>4放</vt:lpstr>
      <vt:lpstr>5放</vt:lpstr>
      <vt:lpstr>6放</vt:lpstr>
      <vt:lpstr>7放</vt:lpstr>
      <vt:lpstr>8放</vt:lpstr>
      <vt:lpstr>9放</vt:lpstr>
      <vt:lpstr>10放</vt:lpstr>
      <vt:lpstr>11放</vt:lpstr>
      <vt:lpstr>12放</vt:lpstr>
      <vt:lpstr>13放</vt:lpstr>
      <vt:lpstr>14放</vt:lpstr>
      <vt:lpstr>15放</vt:lpstr>
      <vt:lpstr>16放</vt:lpstr>
      <vt:lpstr>17放</vt:lpstr>
      <vt:lpstr>18放</vt:lpstr>
      <vt:lpstr>19放</vt:lpstr>
      <vt:lpstr>20放</vt:lpstr>
      <vt:lpstr>21放</vt:lpstr>
      <vt:lpstr>22放</vt:lpstr>
      <vt:lpstr>23放</vt:lpstr>
      <vt:lpstr>24放</vt:lpstr>
      <vt:lpstr>25放</vt:lpstr>
      <vt:lpstr>26放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marcim</cp:lastModifiedBy>
  <dcterms:created xsi:type="dcterms:W3CDTF">2026-09-11T09:57:00Z</dcterms:created>
  <dcterms:modified xsi:type="dcterms:W3CDTF">2026-09-13T17:16:42Z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81DA7E310E3CFBF85ABEA66A70AD318C_43</vt:lpwstr>
  </property>
  <property fmtid="{D5CDD505-2E9C-101B-9397-08002B2CF9AE}" pid="4" name="KSOProductBuildVer">
    <vt:lpwstr>1033-12.1.28496.28496</vt:lpwstr>
  </property>
  <property fmtid="{D5CDD505-2E9C-101B-9397-08002B2CF9AE}" pid="5" name="CalculationRule">
    <vt:i4>0</vt:i4>
  </property>
</Properties>
</file>